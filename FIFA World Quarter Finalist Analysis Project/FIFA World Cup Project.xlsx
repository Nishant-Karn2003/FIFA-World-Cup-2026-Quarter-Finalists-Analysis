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arn\Desktop\"/>
    </mc:Choice>
  </mc:AlternateContent>
  <xr:revisionPtr revIDLastSave="0" documentId="13_ncr:1_{589F7D67-1CE7-4958-85E3-E06B6752B9E6}" xr6:coauthVersionLast="47" xr6:coauthVersionMax="47" xr10:uidLastSave="{00000000-0000-0000-0000-000000000000}"/>
  <bookViews>
    <workbookView xWindow="-108" yWindow="-108" windowWidth="23256" windowHeight="12456" activeTab="1" xr2:uid="{64309E00-D8C0-4225-B055-2EE89214BB52}"/>
  </bookViews>
  <sheets>
    <sheet name="Team Performance Before WC" sheetId="6" r:id="rId1"/>
    <sheet name="2026 Participant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2" i="6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</calcChain>
</file>

<file path=xl/sharedStrings.xml><?xml version="1.0" encoding="utf-8"?>
<sst xmlns="http://schemas.openxmlformats.org/spreadsheetml/2006/main" count="204" uniqueCount="87">
  <si>
    <t>Argentina</t>
  </si>
  <si>
    <t>Uruguay</t>
  </si>
  <si>
    <t>USA</t>
  </si>
  <si>
    <t>Yugoslavia</t>
  </si>
  <si>
    <t>Chile</t>
  </si>
  <si>
    <t>Romania</t>
  </si>
  <si>
    <t>Paraguay</t>
  </si>
  <si>
    <t>Brazil</t>
  </si>
  <si>
    <t>Italy</t>
  </si>
  <si>
    <t>Spain</t>
  </si>
  <si>
    <t>Austria</t>
  </si>
  <si>
    <t>Hungary</t>
  </si>
  <si>
    <t>Germany</t>
  </si>
  <si>
    <t>Sweden</t>
  </si>
  <si>
    <t>Czechoslovakia</t>
  </si>
  <si>
    <t>Switzerland</t>
  </si>
  <si>
    <t>France</t>
  </si>
  <si>
    <t>United States</t>
  </si>
  <si>
    <t>West Germany</t>
  </si>
  <si>
    <t>England</t>
  </si>
  <si>
    <t>Wales</t>
  </si>
  <si>
    <t>Northern Ireland</t>
  </si>
  <si>
    <t>Soviet Union</t>
  </si>
  <si>
    <t>Portugal</t>
  </si>
  <si>
    <t xml:space="preserve"> North Korea</t>
  </si>
  <si>
    <t>Peru</t>
  </si>
  <si>
    <t>Mexico</t>
  </si>
  <si>
    <t>Netherlands</t>
  </si>
  <si>
    <t>Belgium</t>
  </si>
  <si>
    <t>Republic of Ireland</t>
  </si>
  <si>
    <t>Cameroon</t>
  </si>
  <si>
    <t>Bulgaria</t>
  </si>
  <si>
    <t>Denmark</t>
  </si>
  <si>
    <t>Croatia</t>
  </si>
  <si>
    <t>South Korea</t>
  </si>
  <si>
    <t>Senegal</t>
  </si>
  <si>
    <t>Turkey</t>
  </si>
  <si>
    <t>Ukraine</t>
  </si>
  <si>
    <t>Ghana</t>
  </si>
  <si>
    <t>Colombia</t>
  </si>
  <si>
    <t>Costa Rica</t>
  </si>
  <si>
    <t>Russia</t>
  </si>
  <si>
    <t>Morocco</t>
  </si>
  <si>
    <t xml:space="preserve">Team </t>
  </si>
  <si>
    <t>Matches Played</t>
  </si>
  <si>
    <t>Matches Won</t>
  </si>
  <si>
    <t>Goals Scored</t>
  </si>
  <si>
    <t>Goals Conceeded</t>
  </si>
  <si>
    <t>Goal Difference</t>
  </si>
  <si>
    <t>Number Of Players In squad under 150 Rankings</t>
  </si>
  <si>
    <t>FIFA Ranking Before World Cup</t>
  </si>
  <si>
    <t>Team</t>
  </si>
  <si>
    <t>Matches Lost  or Drawn</t>
  </si>
  <si>
    <t>South Africa</t>
  </si>
  <si>
    <t>Czechia</t>
  </si>
  <si>
    <t>Canada</t>
  </si>
  <si>
    <t>Bosnia and Herzegovina</t>
  </si>
  <si>
    <t>Cabo Verde</t>
  </si>
  <si>
    <t>Norway</t>
  </si>
  <si>
    <t>Haiti</t>
  </si>
  <si>
    <t>Australia</t>
  </si>
  <si>
    <t>Curaçao</t>
  </si>
  <si>
    <t>Ivory Coast</t>
  </si>
  <si>
    <t>Ecuador</t>
  </si>
  <si>
    <t>Japan</t>
  </si>
  <si>
    <t>Panama</t>
  </si>
  <si>
    <t>Tunisia</t>
  </si>
  <si>
    <t>Egypt</t>
  </si>
  <si>
    <t>Iran</t>
  </si>
  <si>
    <t>New Zealand</t>
  </si>
  <si>
    <t>DR Congo</t>
  </si>
  <si>
    <t>Uzbekistan</t>
  </si>
  <si>
    <t>Algeria</t>
  </si>
  <si>
    <t>Iraq</t>
  </si>
  <si>
    <t>Jordan</t>
  </si>
  <si>
    <t>Qatar</t>
  </si>
  <si>
    <t>Scotland</t>
  </si>
  <si>
    <t>Türkiye</t>
  </si>
  <si>
    <t>Saudi Arabia</t>
  </si>
  <si>
    <t>Year</t>
  </si>
  <si>
    <t>Number of Star Players</t>
  </si>
  <si>
    <t>Win %</t>
  </si>
  <si>
    <t>GF/Match</t>
  </si>
  <si>
    <t>GA/Match</t>
  </si>
  <si>
    <t>GD/Match</t>
  </si>
  <si>
    <t>Star Players</t>
  </si>
  <si>
    <t>Win%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</si>
</sst>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8"/>
      <color theme="1"/>
      <name val="Lucida Fax"/>
      <family val="1"/>
    </font>
    <font>
      <b/>
      <sz val="26"/>
      <color theme="1"/>
      <name val="Lucida Console"/>
      <family val="3"/>
    </font>
    <font>
      <sz val="11"/>
      <color theme="1"/>
      <name val="Lucida Fax"/>
      <family val="1"/>
    </font>
    <font>
      <sz val="10"/>
      <color theme="1"/>
      <name val="Lucida Fax"/>
      <family val="1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12"/>
      <color rgb="FF1F1F1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3" borderId="0" xfId="0" applyFont="1" applyFill="1" applyAlignment="1"/>
    <xf numFmtId="0" fontId="8" fillId="0" borderId="0" xfId="0" applyFont="1"/>
    <xf numFmtId="0" fontId="8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72B9-2436-4DA2-BE75-16308BCAD2ED}">
  <dimension ref="A1:GP123"/>
  <sheetViews>
    <sheetView zoomScale="72" workbookViewId="0">
      <selection activeCell="R11" sqref="R11"/>
    </sheetView>
  </sheetViews>
  <sheetFormatPr defaultRowHeight="14.4" x14ac:dyDescent="0.3"/>
  <cols>
    <col min="1" max="1" width="5.33203125" bestFit="1" customWidth="1"/>
    <col min="2" max="2" width="16.109375" style="2" bestFit="1" customWidth="1"/>
    <col min="3" max="3" width="13.6640625" style="2" bestFit="1" customWidth="1"/>
    <col min="4" max="4" width="12" style="1" bestFit="1" customWidth="1"/>
    <col min="5" max="5" width="19.88671875" style="2" bestFit="1" customWidth="1"/>
    <col min="6" max="6" width="11.6640625" bestFit="1" customWidth="1"/>
    <col min="7" max="7" width="15.44140625" bestFit="1" customWidth="1"/>
    <col min="8" max="8" width="13.6640625" style="2" customWidth="1"/>
    <col min="9" max="9" width="7" style="8" bestFit="1" customWidth="1"/>
    <col min="10" max="10" width="10.77734375" style="9" bestFit="1" customWidth="1"/>
    <col min="11" max="11" width="11.109375" style="9" bestFit="1" customWidth="1"/>
    <col min="12" max="12" width="11.21875" style="9" bestFit="1" customWidth="1"/>
    <col min="13" max="13" width="19.44140625" bestFit="1" customWidth="1"/>
    <col min="14" max="14" width="26.21875" bestFit="1" customWidth="1"/>
    <col min="15" max="15" width="15.33203125" bestFit="1" customWidth="1"/>
    <col min="16" max="16" width="13.6640625" bestFit="1" customWidth="1"/>
    <col min="17" max="17" width="39.6640625" bestFit="1" customWidth="1"/>
    <col min="18" max="18" width="26" bestFit="1" customWidth="1"/>
    <col min="19" max="19" width="13.5546875" bestFit="1" customWidth="1"/>
    <col min="20" max="20" width="13.6640625" bestFit="1" customWidth="1"/>
    <col min="21" max="21" width="11.88671875" bestFit="1" customWidth="1"/>
    <col min="22" max="22" width="19.6640625" bestFit="1" customWidth="1"/>
    <col min="23" max="23" width="11.6640625" bestFit="1" customWidth="1"/>
    <col min="24" max="24" width="15.33203125" bestFit="1" customWidth="1"/>
    <col min="25" max="25" width="13.6640625" bestFit="1" customWidth="1"/>
    <col min="26" max="26" width="39.6640625" bestFit="1" customWidth="1"/>
    <col min="27" max="27" width="26" bestFit="1" customWidth="1"/>
    <col min="28" max="28" width="11.5546875" bestFit="1" customWidth="1"/>
    <col min="29" max="29" width="13.6640625" style="2" bestFit="1" customWidth="1"/>
    <col min="30" max="30" width="11.88671875" bestFit="1" customWidth="1"/>
    <col min="31" max="31" width="19.6640625" bestFit="1" customWidth="1"/>
    <col min="32" max="32" width="11.6640625" bestFit="1" customWidth="1"/>
    <col min="33" max="33" width="15.33203125" bestFit="1" customWidth="1"/>
    <col min="34" max="34" width="13.6640625" bestFit="1" customWidth="1"/>
    <col min="35" max="35" width="39.6640625" bestFit="1" customWidth="1"/>
    <col min="36" max="36" width="26" bestFit="1" customWidth="1"/>
    <col min="37" max="37" width="12.77734375" bestFit="1" customWidth="1"/>
    <col min="38" max="38" width="13.6640625" bestFit="1" customWidth="1"/>
    <col min="39" max="39" width="11.88671875" bestFit="1" customWidth="1"/>
    <col min="40" max="40" width="19.6640625" bestFit="1" customWidth="1"/>
    <col min="41" max="41" width="11.6640625" bestFit="1" customWidth="1"/>
    <col min="42" max="42" width="15.33203125" bestFit="1" customWidth="1"/>
    <col min="43" max="43" width="13.6640625" bestFit="1" customWidth="1"/>
    <col min="44" max="44" width="39.6640625" bestFit="1" customWidth="1"/>
    <col min="45" max="45" width="26" bestFit="1" customWidth="1"/>
    <col min="46" max="46" width="14.21875" bestFit="1" customWidth="1"/>
    <col min="47" max="47" width="13.6640625" bestFit="1" customWidth="1"/>
    <col min="48" max="48" width="11.88671875" bestFit="1" customWidth="1"/>
    <col min="49" max="49" width="19.6640625" bestFit="1" customWidth="1"/>
    <col min="50" max="50" width="11.6640625" bestFit="1" customWidth="1"/>
    <col min="51" max="51" width="15.33203125" bestFit="1" customWidth="1"/>
    <col min="52" max="52" width="13.6640625" bestFit="1" customWidth="1"/>
    <col min="53" max="53" width="39.6640625" bestFit="1" customWidth="1"/>
    <col min="54" max="54" width="26" bestFit="1" customWidth="1"/>
    <col min="55" max="55" width="13.5546875" bestFit="1" customWidth="1"/>
    <col min="56" max="56" width="13.6640625" style="2" bestFit="1" customWidth="1"/>
    <col min="57" max="57" width="11.88671875" bestFit="1" customWidth="1"/>
    <col min="58" max="58" width="19.6640625" bestFit="1" customWidth="1"/>
    <col min="59" max="59" width="11.6640625" bestFit="1" customWidth="1"/>
    <col min="60" max="60" width="15.33203125" bestFit="1" customWidth="1"/>
    <col min="61" max="61" width="13.6640625" bestFit="1" customWidth="1"/>
    <col min="62" max="62" width="39.6640625" bestFit="1" customWidth="1"/>
    <col min="63" max="63" width="26" bestFit="1" customWidth="1"/>
    <col min="64" max="64" width="12.77734375" bestFit="1" customWidth="1"/>
    <col min="65" max="65" width="13.6640625" bestFit="1" customWidth="1"/>
    <col min="66" max="66" width="11.88671875" bestFit="1" customWidth="1"/>
    <col min="67" max="67" width="19.6640625" bestFit="1" customWidth="1"/>
    <col min="68" max="68" width="11.6640625" bestFit="1" customWidth="1"/>
    <col min="69" max="69" width="15.33203125" bestFit="1" customWidth="1"/>
    <col min="70" max="70" width="13.6640625" bestFit="1" customWidth="1"/>
    <col min="71" max="71" width="39.6640625" bestFit="1" customWidth="1"/>
    <col min="72" max="72" width="26" bestFit="1" customWidth="1"/>
    <col min="73" max="73" width="12.77734375" bestFit="1" customWidth="1"/>
    <col min="74" max="74" width="13.6640625" style="2" bestFit="1" customWidth="1"/>
    <col min="75" max="75" width="11.88671875" bestFit="1" customWidth="1"/>
    <col min="76" max="76" width="19.6640625" bestFit="1" customWidth="1"/>
    <col min="77" max="77" width="11.6640625" bestFit="1" customWidth="1"/>
    <col min="78" max="78" width="15.33203125" bestFit="1" customWidth="1"/>
    <col min="79" max="79" width="13.6640625" bestFit="1" customWidth="1"/>
    <col min="80" max="80" width="39.6640625" bestFit="1" customWidth="1"/>
    <col min="81" max="81" width="26" bestFit="1" customWidth="1"/>
    <col min="82" max="82" width="12.77734375" bestFit="1" customWidth="1"/>
    <col min="83" max="83" width="13.6640625" bestFit="1" customWidth="1"/>
    <col min="84" max="84" width="11.88671875" bestFit="1" customWidth="1"/>
    <col min="85" max="85" width="19.6640625" bestFit="1" customWidth="1"/>
    <col min="86" max="86" width="11.6640625" bestFit="1" customWidth="1"/>
    <col min="87" max="87" width="15.33203125" bestFit="1" customWidth="1"/>
    <col min="88" max="88" width="13.6640625" bestFit="1" customWidth="1"/>
    <col min="89" max="89" width="39.6640625" bestFit="1" customWidth="1"/>
    <col min="90" max="90" width="26" bestFit="1" customWidth="1"/>
    <col min="91" max="91" width="12.77734375" bestFit="1" customWidth="1"/>
    <col min="92" max="92" width="13.6640625" bestFit="1" customWidth="1"/>
    <col min="93" max="93" width="11.88671875" bestFit="1" customWidth="1"/>
    <col min="94" max="94" width="19.6640625" bestFit="1" customWidth="1"/>
    <col min="95" max="95" width="11.6640625" bestFit="1" customWidth="1"/>
    <col min="96" max="96" width="15.33203125" bestFit="1" customWidth="1"/>
    <col min="97" max="97" width="13.6640625" bestFit="1" customWidth="1"/>
    <col min="98" max="98" width="39.6640625" bestFit="1" customWidth="1"/>
    <col min="99" max="99" width="26" bestFit="1" customWidth="1"/>
    <col min="100" max="100" width="12.77734375" bestFit="1" customWidth="1"/>
    <col min="101" max="101" width="13.6640625" bestFit="1" customWidth="1"/>
    <col min="102" max="102" width="11.88671875" bestFit="1" customWidth="1"/>
    <col min="103" max="103" width="19.6640625" bestFit="1" customWidth="1"/>
    <col min="104" max="104" width="11.6640625" bestFit="1" customWidth="1"/>
    <col min="105" max="105" width="15.33203125" bestFit="1" customWidth="1"/>
    <col min="106" max="106" width="13.6640625" bestFit="1" customWidth="1"/>
    <col min="107" max="107" width="39.6640625" bestFit="1" customWidth="1"/>
    <col min="108" max="108" width="26" bestFit="1" customWidth="1"/>
    <col min="109" max="109" width="12.77734375" bestFit="1" customWidth="1"/>
    <col min="110" max="110" width="13.6640625" bestFit="1" customWidth="1"/>
    <col min="111" max="111" width="11.88671875" bestFit="1" customWidth="1"/>
    <col min="112" max="112" width="19.6640625" bestFit="1" customWidth="1"/>
    <col min="113" max="113" width="11.6640625" bestFit="1" customWidth="1"/>
    <col min="114" max="114" width="15.33203125" bestFit="1" customWidth="1"/>
    <col min="115" max="115" width="13.6640625" bestFit="1" customWidth="1"/>
    <col min="116" max="116" width="39.6640625" bestFit="1" customWidth="1"/>
    <col min="117" max="117" width="26" bestFit="1" customWidth="1"/>
    <col min="118" max="118" width="15.88671875" bestFit="1" customWidth="1"/>
    <col min="119" max="119" width="13.6640625" bestFit="1" customWidth="1"/>
    <col min="120" max="120" width="11.88671875" bestFit="1" customWidth="1"/>
    <col min="121" max="121" width="19.6640625" bestFit="1" customWidth="1"/>
    <col min="122" max="122" width="11.6640625" bestFit="1" customWidth="1"/>
    <col min="123" max="123" width="15.33203125" bestFit="1" customWidth="1"/>
    <col min="124" max="124" width="13.6640625" bestFit="1" customWidth="1"/>
    <col min="125" max="125" width="39.6640625" bestFit="1" customWidth="1"/>
    <col min="126" max="126" width="26" bestFit="1" customWidth="1"/>
    <col min="127" max="127" width="10.88671875" bestFit="1" customWidth="1"/>
    <col min="128" max="128" width="13.6640625" bestFit="1" customWidth="1"/>
    <col min="129" max="129" width="11.88671875" bestFit="1" customWidth="1"/>
    <col min="130" max="130" width="19.6640625" bestFit="1" customWidth="1"/>
    <col min="131" max="131" width="11.6640625" bestFit="1" customWidth="1"/>
    <col min="132" max="132" width="15.33203125" bestFit="1" customWidth="1"/>
    <col min="133" max="133" width="13.6640625" bestFit="1" customWidth="1"/>
    <col min="134" max="134" width="39.6640625" bestFit="1" customWidth="1"/>
    <col min="135" max="135" width="26" bestFit="1" customWidth="1"/>
    <col min="136" max="136" width="10.88671875" bestFit="1" customWidth="1"/>
    <col min="137" max="137" width="13.6640625" bestFit="1" customWidth="1"/>
    <col min="138" max="138" width="11.88671875" bestFit="1" customWidth="1"/>
    <col min="139" max="139" width="19.6640625" bestFit="1" customWidth="1"/>
    <col min="140" max="140" width="11.6640625" bestFit="1" customWidth="1"/>
    <col min="141" max="141" width="15.33203125" bestFit="1" customWidth="1"/>
    <col min="142" max="142" width="13.6640625" bestFit="1" customWidth="1"/>
    <col min="143" max="143" width="39.6640625" bestFit="1" customWidth="1"/>
    <col min="144" max="144" width="26" bestFit="1" customWidth="1"/>
    <col min="145" max="145" width="11.5546875" bestFit="1" customWidth="1"/>
    <col min="146" max="146" width="13.6640625" bestFit="1" customWidth="1"/>
    <col min="147" max="147" width="11.88671875" bestFit="1" customWidth="1"/>
    <col min="148" max="148" width="19.6640625" bestFit="1" customWidth="1"/>
    <col min="149" max="149" width="11.6640625" bestFit="1" customWidth="1"/>
    <col min="150" max="150" width="15.33203125" bestFit="1" customWidth="1"/>
    <col min="151" max="151" width="13.6640625" bestFit="1" customWidth="1"/>
    <col min="152" max="152" width="39.6640625" bestFit="1" customWidth="1"/>
    <col min="153" max="153" width="26" bestFit="1" customWidth="1"/>
    <col min="154" max="154" width="8.6640625" bestFit="1" customWidth="1"/>
    <col min="155" max="155" width="13.6640625" bestFit="1" customWidth="1"/>
    <col min="156" max="156" width="11.88671875" bestFit="1" customWidth="1"/>
    <col min="157" max="157" width="19.6640625" bestFit="1" customWidth="1"/>
    <col min="158" max="158" width="11.6640625" bestFit="1" customWidth="1"/>
    <col min="159" max="159" width="15.33203125" bestFit="1" customWidth="1"/>
    <col min="160" max="160" width="13.6640625" bestFit="1" customWidth="1"/>
    <col min="161" max="161" width="39.6640625" bestFit="1" customWidth="1"/>
    <col min="162" max="162" width="26" bestFit="1" customWidth="1"/>
    <col min="163" max="163" width="10.88671875" bestFit="1" customWidth="1"/>
    <col min="164" max="164" width="13.6640625" bestFit="1" customWidth="1"/>
    <col min="165" max="165" width="11.88671875" bestFit="1" customWidth="1"/>
    <col min="166" max="166" width="19.6640625" bestFit="1" customWidth="1"/>
    <col min="167" max="167" width="11.6640625" bestFit="1" customWidth="1"/>
    <col min="168" max="168" width="15.33203125" bestFit="1" customWidth="1"/>
    <col min="169" max="169" width="13.6640625" bestFit="1" customWidth="1"/>
    <col min="170" max="170" width="39.6640625" bestFit="1" customWidth="1"/>
    <col min="171" max="171" width="26" bestFit="1" customWidth="1"/>
    <col min="172" max="172" width="10.88671875" bestFit="1" customWidth="1"/>
    <col min="173" max="173" width="13.6640625" bestFit="1" customWidth="1"/>
    <col min="174" max="174" width="11.88671875" bestFit="1" customWidth="1"/>
    <col min="175" max="175" width="19.6640625" bestFit="1" customWidth="1"/>
    <col min="176" max="176" width="11.6640625" bestFit="1" customWidth="1"/>
    <col min="177" max="177" width="15.33203125" bestFit="1" customWidth="1"/>
    <col min="178" max="178" width="13.6640625" bestFit="1" customWidth="1"/>
    <col min="179" max="179" width="39.6640625" bestFit="1" customWidth="1"/>
    <col min="180" max="180" width="26" bestFit="1" customWidth="1"/>
    <col min="181" max="181" width="7.5546875" bestFit="1" customWidth="1"/>
    <col min="182" max="182" width="13.6640625" bestFit="1" customWidth="1"/>
    <col min="183" max="183" width="11.88671875" bestFit="1" customWidth="1"/>
    <col min="184" max="184" width="19.6640625" bestFit="1" customWidth="1"/>
    <col min="185" max="185" width="11.6640625" bestFit="1" customWidth="1"/>
    <col min="186" max="186" width="15.33203125" bestFit="1" customWidth="1"/>
    <col min="187" max="187" width="13.6640625" bestFit="1" customWidth="1"/>
    <col min="188" max="188" width="39.6640625" bestFit="1" customWidth="1"/>
    <col min="189" max="189" width="26" bestFit="1" customWidth="1"/>
    <col min="190" max="190" width="10.88671875" bestFit="1" customWidth="1"/>
    <col min="191" max="191" width="13.6640625" bestFit="1" customWidth="1"/>
    <col min="192" max="192" width="11.88671875" bestFit="1" customWidth="1"/>
    <col min="193" max="193" width="19.6640625" bestFit="1" customWidth="1"/>
    <col min="194" max="194" width="11.6640625" bestFit="1" customWidth="1"/>
    <col min="195" max="195" width="15.33203125" bestFit="1" customWidth="1"/>
    <col min="196" max="196" width="13.6640625" bestFit="1" customWidth="1"/>
    <col min="197" max="197" width="39.6640625" bestFit="1" customWidth="1"/>
    <col min="198" max="198" width="26" bestFit="1" customWidth="1"/>
    <col min="199" max="199" width="13.5546875" bestFit="1" customWidth="1"/>
  </cols>
  <sheetData>
    <row r="1" spans="1:198" s="4" customFormat="1" ht="14.4" customHeight="1" x14ac:dyDescent="0.3">
      <c r="A1" s="2" t="s">
        <v>79</v>
      </c>
      <c r="B1" s="2" t="s">
        <v>43</v>
      </c>
      <c r="C1" s="2" t="s">
        <v>44</v>
      </c>
      <c r="D1" s="2" t="s">
        <v>45</v>
      </c>
      <c r="E1" s="1" t="s">
        <v>52</v>
      </c>
      <c r="F1" s="2" t="s">
        <v>46</v>
      </c>
      <c r="G1" t="s">
        <v>47</v>
      </c>
      <c r="H1" s="2" t="s">
        <v>48</v>
      </c>
      <c r="I1" s="6" t="s">
        <v>81</v>
      </c>
      <c r="J1" s="5" t="s">
        <v>82</v>
      </c>
      <c r="K1" s="5" t="s">
        <v>83</v>
      </c>
      <c r="L1" s="5" t="s">
        <v>84</v>
      </c>
      <c r="M1" s="2" t="s">
        <v>80</v>
      </c>
      <c r="N1" s="2" t="s">
        <v>50</v>
      </c>
    </row>
    <row r="2" spans="1:198" s="4" customFormat="1" ht="14.4" customHeight="1" x14ac:dyDescent="0.3">
      <c r="A2" s="2">
        <v>1954</v>
      </c>
      <c r="B2" s="2" t="s">
        <v>7</v>
      </c>
      <c r="C2" s="2">
        <v>20</v>
      </c>
      <c r="D2" s="2">
        <v>15</v>
      </c>
      <c r="E2" s="2">
        <v>5</v>
      </c>
      <c r="F2" s="2">
        <v>47</v>
      </c>
      <c r="G2" s="2">
        <v>14</v>
      </c>
      <c r="H2" s="2">
        <v>33</v>
      </c>
      <c r="I2" s="7">
        <f>D2/C2</f>
        <v>0.75</v>
      </c>
      <c r="J2" s="5">
        <f>F2/C2</f>
        <v>2.35</v>
      </c>
      <c r="K2" s="5">
        <f>G2/C2</f>
        <v>0.7</v>
      </c>
      <c r="L2" s="10">
        <f>H2/C2</f>
        <v>1.65</v>
      </c>
      <c r="M2" s="2">
        <v>3</v>
      </c>
      <c r="N2" s="2">
        <v>3</v>
      </c>
    </row>
    <row r="3" spans="1:198" s="4" customFormat="1" ht="14.4" customHeight="1" x14ac:dyDescent="0.3">
      <c r="A3" s="2">
        <v>1954</v>
      </c>
      <c r="B3" s="2" t="s">
        <v>3</v>
      </c>
      <c r="C3" s="2">
        <v>20</v>
      </c>
      <c r="D3" s="2">
        <v>11</v>
      </c>
      <c r="E3" s="2">
        <v>9</v>
      </c>
      <c r="F3" s="2">
        <v>45</v>
      </c>
      <c r="G3" s="2">
        <v>23</v>
      </c>
      <c r="H3" s="2">
        <v>22</v>
      </c>
      <c r="I3" s="7">
        <f t="shared" ref="I3:I66" si="0">D3/C3</f>
        <v>0.55000000000000004</v>
      </c>
      <c r="J3" s="5">
        <f t="shared" ref="J3:J66" si="1">F3/C3</f>
        <v>2.25</v>
      </c>
      <c r="K3" s="5">
        <f t="shared" ref="K3:K66" si="2">G3/C3</f>
        <v>1.1499999999999999</v>
      </c>
      <c r="L3" s="10">
        <f t="shared" ref="L3:L66" si="3">H3/C3</f>
        <v>1.1000000000000001</v>
      </c>
      <c r="M3" s="2">
        <v>2</v>
      </c>
      <c r="N3" s="2">
        <v>5</v>
      </c>
    </row>
    <row r="4" spans="1:198" ht="14.4" customHeight="1" x14ac:dyDescent="0.5">
      <c r="A4" s="2">
        <v>1954</v>
      </c>
      <c r="B4" s="2" t="s">
        <v>11</v>
      </c>
      <c r="C4" s="2">
        <v>20</v>
      </c>
      <c r="D4" s="2">
        <v>17</v>
      </c>
      <c r="E4" s="2">
        <v>3</v>
      </c>
      <c r="F4" s="2">
        <v>73</v>
      </c>
      <c r="G4" s="2">
        <v>19</v>
      </c>
      <c r="H4" s="2">
        <v>54</v>
      </c>
      <c r="I4" s="7">
        <f t="shared" si="0"/>
        <v>0.85</v>
      </c>
      <c r="J4" s="5">
        <f t="shared" si="1"/>
        <v>3.65</v>
      </c>
      <c r="K4" s="5">
        <f t="shared" si="2"/>
        <v>0.95</v>
      </c>
      <c r="L4" s="10">
        <f t="shared" si="3"/>
        <v>2.7</v>
      </c>
      <c r="M4" s="2">
        <v>5</v>
      </c>
      <c r="N4" s="2">
        <v>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</row>
    <row r="5" spans="1:198" ht="14.4" customHeight="1" x14ac:dyDescent="0.5">
      <c r="A5" s="2">
        <v>1954</v>
      </c>
      <c r="B5" s="2" t="s">
        <v>18</v>
      </c>
      <c r="C5" s="2">
        <v>20</v>
      </c>
      <c r="D5" s="2">
        <v>12</v>
      </c>
      <c r="E5" s="2">
        <v>8</v>
      </c>
      <c r="F5" s="2">
        <v>49</v>
      </c>
      <c r="G5" s="2">
        <v>30</v>
      </c>
      <c r="H5" s="2">
        <v>19</v>
      </c>
      <c r="I5" s="7">
        <f t="shared" si="0"/>
        <v>0.6</v>
      </c>
      <c r="J5" s="5">
        <f t="shared" si="1"/>
        <v>2.4500000000000002</v>
      </c>
      <c r="K5" s="5">
        <f t="shared" si="2"/>
        <v>1.5</v>
      </c>
      <c r="L5" s="10">
        <f t="shared" si="3"/>
        <v>0.95</v>
      </c>
      <c r="M5" s="2">
        <v>2</v>
      </c>
      <c r="N5" s="2">
        <v>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</row>
    <row r="6" spans="1:198" x14ac:dyDescent="0.3">
      <c r="A6" s="2">
        <v>1954</v>
      </c>
      <c r="B6" s="2" t="s">
        <v>1</v>
      </c>
      <c r="C6" s="2">
        <v>20</v>
      </c>
      <c r="D6" s="2">
        <v>12</v>
      </c>
      <c r="E6" s="2">
        <v>8</v>
      </c>
      <c r="F6" s="2">
        <v>48</v>
      </c>
      <c r="G6" s="2">
        <v>26</v>
      </c>
      <c r="H6" s="2">
        <v>22</v>
      </c>
      <c r="I6" s="7">
        <f t="shared" si="0"/>
        <v>0.6</v>
      </c>
      <c r="J6" s="5">
        <f t="shared" si="1"/>
        <v>2.4</v>
      </c>
      <c r="K6" s="5">
        <f t="shared" si="2"/>
        <v>1.3</v>
      </c>
      <c r="L6" s="10">
        <f t="shared" si="3"/>
        <v>1.1000000000000001</v>
      </c>
      <c r="M6" s="2">
        <v>3</v>
      </c>
      <c r="N6" s="2">
        <v>4</v>
      </c>
      <c r="Q6" s="2"/>
      <c r="R6" s="2"/>
      <c r="S6" s="2"/>
      <c r="Z6" s="2"/>
      <c r="AA6" s="2"/>
      <c r="AB6" s="2"/>
      <c r="AI6" s="2"/>
      <c r="AJ6" s="2"/>
      <c r="AK6" s="2"/>
      <c r="AR6" s="2"/>
      <c r="AS6" s="2"/>
      <c r="AT6" s="2"/>
      <c r="BA6" s="2"/>
      <c r="BB6" s="2"/>
      <c r="BC6" s="2"/>
      <c r="BJ6" s="2"/>
      <c r="BK6" s="2"/>
      <c r="BL6" s="2"/>
      <c r="BS6" s="2"/>
      <c r="BT6" s="2"/>
      <c r="BU6" s="2"/>
      <c r="CB6" s="2"/>
      <c r="CC6" s="2"/>
      <c r="CD6" s="2"/>
      <c r="CK6" s="2"/>
      <c r="CL6" s="2"/>
      <c r="CM6" s="2"/>
      <c r="CT6" s="2"/>
      <c r="CU6" s="2"/>
      <c r="CV6" s="2"/>
      <c r="DC6" s="2"/>
      <c r="DD6" s="2"/>
      <c r="DE6" s="2"/>
      <c r="DL6" s="2"/>
      <c r="DM6" s="2"/>
      <c r="DN6" s="2"/>
      <c r="DU6" s="2"/>
      <c r="DV6" s="2"/>
      <c r="DW6" s="2"/>
      <c r="ED6" s="2"/>
      <c r="EE6" s="2"/>
      <c r="EF6" s="2"/>
      <c r="EM6" s="2"/>
      <c r="EN6" s="2"/>
      <c r="EO6" s="2"/>
      <c r="EV6" s="2"/>
      <c r="EW6" s="2"/>
      <c r="EX6" s="2"/>
      <c r="FE6" s="2"/>
      <c r="FF6" s="2"/>
      <c r="FG6" s="2"/>
      <c r="FN6" s="2"/>
      <c r="FO6" s="2"/>
      <c r="FP6" s="2"/>
      <c r="FW6" s="2"/>
      <c r="FX6" s="2"/>
      <c r="FY6" s="2"/>
      <c r="GF6" s="2"/>
      <c r="GG6" s="2"/>
      <c r="GH6" s="2" t="s">
        <v>51</v>
      </c>
      <c r="GI6" t="s">
        <v>44</v>
      </c>
      <c r="GJ6" t="s">
        <v>45</v>
      </c>
      <c r="GK6" t="s">
        <v>52</v>
      </c>
      <c r="GL6" t="s">
        <v>46</v>
      </c>
      <c r="GM6" t="s">
        <v>47</v>
      </c>
      <c r="GN6" t="s">
        <v>48</v>
      </c>
      <c r="GO6" s="2" t="s">
        <v>49</v>
      </c>
      <c r="GP6" s="2" t="s">
        <v>50</v>
      </c>
    </row>
    <row r="7" spans="1:198" x14ac:dyDescent="0.3">
      <c r="A7" s="2">
        <v>1954</v>
      </c>
      <c r="B7" s="2" t="s">
        <v>10</v>
      </c>
      <c r="C7" s="2">
        <v>20</v>
      </c>
      <c r="D7" s="2">
        <v>9</v>
      </c>
      <c r="E7" s="2">
        <v>11</v>
      </c>
      <c r="F7" s="2">
        <v>45</v>
      </c>
      <c r="G7" s="2">
        <v>34</v>
      </c>
      <c r="H7" s="2">
        <v>11</v>
      </c>
      <c r="I7" s="7">
        <f t="shared" si="0"/>
        <v>0.45</v>
      </c>
      <c r="J7" s="5">
        <f t="shared" si="1"/>
        <v>2.25</v>
      </c>
      <c r="K7" s="5">
        <f t="shared" si="2"/>
        <v>1.7</v>
      </c>
      <c r="L7" s="10">
        <f t="shared" si="3"/>
        <v>0.55000000000000004</v>
      </c>
      <c r="M7" s="2">
        <v>1</v>
      </c>
      <c r="N7" s="2">
        <v>12</v>
      </c>
      <c r="S7" s="2"/>
      <c r="T7" s="2"/>
      <c r="U7" s="2"/>
      <c r="V7" s="2"/>
      <c r="W7" s="2"/>
      <c r="X7" s="2"/>
      <c r="Y7" s="2"/>
      <c r="Z7" s="2"/>
      <c r="AA7" s="2"/>
      <c r="AB7" s="2"/>
      <c r="AD7" s="2"/>
      <c r="AE7" s="2"/>
      <c r="AF7" s="2"/>
      <c r="AG7" s="2"/>
      <c r="AH7" s="2"/>
      <c r="AI7" s="2"/>
      <c r="AJ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</row>
    <row r="8" spans="1:198" x14ac:dyDescent="0.3">
      <c r="A8" s="2">
        <v>1954</v>
      </c>
      <c r="B8" s="2" t="s">
        <v>19</v>
      </c>
      <c r="C8" s="2">
        <v>20</v>
      </c>
      <c r="D8" s="2">
        <v>11</v>
      </c>
      <c r="E8" s="2">
        <v>9</v>
      </c>
      <c r="F8" s="2">
        <v>53</v>
      </c>
      <c r="G8" s="2">
        <v>39</v>
      </c>
      <c r="H8" s="2">
        <v>14</v>
      </c>
      <c r="I8" s="7">
        <f t="shared" si="0"/>
        <v>0.55000000000000004</v>
      </c>
      <c r="J8" s="5">
        <f t="shared" si="1"/>
        <v>2.65</v>
      </c>
      <c r="K8" s="5">
        <f t="shared" si="2"/>
        <v>1.95</v>
      </c>
      <c r="L8" s="10">
        <f t="shared" si="3"/>
        <v>0.7</v>
      </c>
      <c r="M8" s="2">
        <v>2</v>
      </c>
      <c r="N8" s="2">
        <v>6</v>
      </c>
      <c r="S8" s="2"/>
      <c r="T8" s="2"/>
      <c r="U8" s="2"/>
      <c r="V8" s="2"/>
      <c r="W8" s="2"/>
      <c r="X8" s="2"/>
      <c r="Y8" s="2"/>
      <c r="Z8" s="2"/>
      <c r="AA8" s="2"/>
      <c r="AB8" s="2"/>
      <c r="AD8" s="2"/>
      <c r="AE8" s="2"/>
      <c r="AF8" s="2"/>
      <c r="AG8" s="2"/>
      <c r="AH8" s="2"/>
      <c r="AI8" s="2"/>
      <c r="AJ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</row>
    <row r="9" spans="1:198" x14ac:dyDescent="0.3">
      <c r="A9" s="2">
        <v>1954</v>
      </c>
      <c r="B9" s="2" t="s">
        <v>15</v>
      </c>
      <c r="C9" s="2">
        <v>20</v>
      </c>
      <c r="D9" s="2">
        <v>6</v>
      </c>
      <c r="E9" s="2">
        <v>14</v>
      </c>
      <c r="F9" s="2">
        <v>37</v>
      </c>
      <c r="G9" s="2">
        <v>49</v>
      </c>
      <c r="H9" s="2">
        <v>-12</v>
      </c>
      <c r="I9" s="7">
        <f t="shared" si="0"/>
        <v>0.3</v>
      </c>
      <c r="J9" s="5">
        <f t="shared" si="1"/>
        <v>1.85</v>
      </c>
      <c r="K9" s="5">
        <f t="shared" si="2"/>
        <v>2.4500000000000002</v>
      </c>
      <c r="L9" s="10">
        <f t="shared" si="3"/>
        <v>-0.6</v>
      </c>
      <c r="M9" s="2">
        <v>0</v>
      </c>
      <c r="N9" s="2">
        <v>15</v>
      </c>
      <c r="S9" s="2"/>
      <c r="T9" s="2"/>
      <c r="U9" s="2"/>
      <c r="V9" s="2"/>
      <c r="W9" s="2"/>
      <c r="X9" s="2"/>
      <c r="Y9" s="2"/>
      <c r="Z9" s="2"/>
      <c r="AA9" s="2"/>
      <c r="AB9" s="2"/>
      <c r="AD9" s="2"/>
      <c r="AE9" s="2"/>
      <c r="AF9" s="2"/>
      <c r="AG9" s="2"/>
      <c r="AH9" s="2"/>
      <c r="AI9" s="2"/>
      <c r="AJ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</row>
    <row r="10" spans="1:198" x14ac:dyDescent="0.3">
      <c r="A10" s="2">
        <v>1958</v>
      </c>
      <c r="B10" s="2" t="s">
        <v>7</v>
      </c>
      <c r="C10" s="2">
        <v>20</v>
      </c>
      <c r="D10" s="2">
        <v>12</v>
      </c>
      <c r="E10" s="2">
        <v>8</v>
      </c>
      <c r="F10" s="2">
        <v>43</v>
      </c>
      <c r="G10" s="2">
        <v>20</v>
      </c>
      <c r="H10" s="2">
        <v>23</v>
      </c>
      <c r="I10" s="7">
        <f t="shared" si="0"/>
        <v>0.6</v>
      </c>
      <c r="J10" s="5">
        <f t="shared" si="1"/>
        <v>2.15</v>
      </c>
      <c r="K10" s="5">
        <f t="shared" si="2"/>
        <v>1</v>
      </c>
      <c r="L10" s="10">
        <f t="shared" si="3"/>
        <v>1.1499999999999999</v>
      </c>
      <c r="M10" s="2">
        <v>4</v>
      </c>
      <c r="N10" s="2">
        <v>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D10" s="2"/>
      <c r="AE10" s="2"/>
      <c r="AF10" s="2"/>
      <c r="AG10" s="2"/>
      <c r="AH10" s="2"/>
      <c r="AI10" s="2"/>
      <c r="AJ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</row>
    <row r="11" spans="1:198" x14ac:dyDescent="0.3">
      <c r="A11" s="2">
        <v>1958</v>
      </c>
      <c r="B11" s="2" t="s">
        <v>20</v>
      </c>
      <c r="C11" s="2">
        <v>16</v>
      </c>
      <c r="D11" s="2">
        <v>6</v>
      </c>
      <c r="E11" s="2">
        <v>10</v>
      </c>
      <c r="F11" s="2">
        <v>21</v>
      </c>
      <c r="G11" s="2">
        <v>22</v>
      </c>
      <c r="H11" s="2">
        <v>-1</v>
      </c>
      <c r="I11" s="7">
        <f t="shared" si="0"/>
        <v>0.375</v>
      </c>
      <c r="J11" s="5">
        <f t="shared" si="1"/>
        <v>1.3125</v>
      </c>
      <c r="K11" s="5">
        <f t="shared" si="2"/>
        <v>1.375</v>
      </c>
      <c r="L11" s="10">
        <f t="shared" si="3"/>
        <v>-6.25E-2</v>
      </c>
      <c r="M11" s="2">
        <v>1</v>
      </c>
      <c r="N11" s="2">
        <v>14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D11" s="2"/>
      <c r="AE11" s="2"/>
      <c r="AF11" s="2"/>
      <c r="AG11" s="2"/>
      <c r="AH11" s="2"/>
      <c r="AI11" s="2"/>
      <c r="AJ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</row>
    <row r="12" spans="1:198" x14ac:dyDescent="0.3">
      <c r="A12" s="2">
        <v>1958</v>
      </c>
      <c r="B12" s="2" t="s">
        <v>16</v>
      </c>
      <c r="C12" s="2">
        <v>20</v>
      </c>
      <c r="D12" s="2">
        <v>10</v>
      </c>
      <c r="E12" s="2">
        <v>10</v>
      </c>
      <c r="F12" s="2">
        <v>49</v>
      </c>
      <c r="G12" s="2">
        <v>31</v>
      </c>
      <c r="H12" s="2">
        <v>18</v>
      </c>
      <c r="I12" s="7">
        <f t="shared" si="0"/>
        <v>0.5</v>
      </c>
      <c r="J12" s="5">
        <f t="shared" si="1"/>
        <v>2.4500000000000002</v>
      </c>
      <c r="K12" s="5">
        <f t="shared" si="2"/>
        <v>1.55</v>
      </c>
      <c r="L12" s="10">
        <f t="shared" si="3"/>
        <v>0.9</v>
      </c>
      <c r="M12" s="2">
        <v>2</v>
      </c>
      <c r="N12" s="2">
        <v>11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D12" s="2"/>
      <c r="AE12" s="2"/>
      <c r="AF12" s="2"/>
      <c r="AG12" s="2"/>
      <c r="AH12" s="2"/>
      <c r="AI12" s="2"/>
      <c r="AJ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</row>
    <row r="13" spans="1:198" x14ac:dyDescent="0.3">
      <c r="A13" s="2">
        <v>1958</v>
      </c>
      <c r="B13" s="2" t="s">
        <v>21</v>
      </c>
      <c r="C13" s="2">
        <v>15</v>
      </c>
      <c r="D13" s="2">
        <v>6</v>
      </c>
      <c r="E13" s="2">
        <v>9</v>
      </c>
      <c r="F13" s="2">
        <v>21</v>
      </c>
      <c r="G13" s="2">
        <v>24</v>
      </c>
      <c r="H13" s="2">
        <v>-3</v>
      </c>
      <c r="I13" s="7">
        <f t="shared" si="0"/>
        <v>0.4</v>
      </c>
      <c r="J13" s="5">
        <f t="shared" si="1"/>
        <v>1.4</v>
      </c>
      <c r="K13" s="5">
        <f t="shared" si="2"/>
        <v>1.6</v>
      </c>
      <c r="L13" s="10">
        <f t="shared" si="3"/>
        <v>-0.2</v>
      </c>
      <c r="M13" s="2">
        <v>1</v>
      </c>
      <c r="N13" s="2">
        <v>17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D13" s="2"/>
      <c r="AE13" s="2"/>
      <c r="AF13" s="2"/>
      <c r="AG13" s="2"/>
      <c r="AH13" s="2"/>
      <c r="AI13" s="2"/>
      <c r="AJ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</row>
    <row r="14" spans="1:198" x14ac:dyDescent="0.3">
      <c r="A14" s="2">
        <v>1958</v>
      </c>
      <c r="B14" s="2" t="s">
        <v>13</v>
      </c>
      <c r="C14" s="2">
        <v>20</v>
      </c>
      <c r="D14" s="2">
        <v>8</v>
      </c>
      <c r="E14" s="2">
        <v>12</v>
      </c>
      <c r="F14" s="2">
        <v>37</v>
      </c>
      <c r="G14" s="2">
        <v>31</v>
      </c>
      <c r="H14" s="2">
        <v>6</v>
      </c>
      <c r="I14" s="7">
        <f t="shared" si="0"/>
        <v>0.4</v>
      </c>
      <c r="J14" s="5">
        <f t="shared" si="1"/>
        <v>1.85</v>
      </c>
      <c r="K14" s="5">
        <f t="shared" si="2"/>
        <v>1.55</v>
      </c>
      <c r="L14" s="10">
        <f t="shared" si="3"/>
        <v>0.3</v>
      </c>
      <c r="M14" s="2">
        <v>2</v>
      </c>
      <c r="N14" s="2">
        <v>10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D14" s="2"/>
      <c r="AE14" s="2"/>
      <c r="AF14" s="2"/>
      <c r="AG14" s="2"/>
      <c r="AH14" s="2"/>
      <c r="AI14" s="2"/>
      <c r="AJ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</row>
    <row r="15" spans="1:198" x14ac:dyDescent="0.3">
      <c r="A15" s="2">
        <v>1958</v>
      </c>
      <c r="B15" s="2" t="s">
        <v>22</v>
      </c>
      <c r="C15" s="2">
        <v>20</v>
      </c>
      <c r="D15" s="2">
        <v>14</v>
      </c>
      <c r="E15" s="2">
        <v>6</v>
      </c>
      <c r="F15" s="2">
        <v>49</v>
      </c>
      <c r="G15" s="2">
        <v>19</v>
      </c>
      <c r="H15" s="2">
        <v>30</v>
      </c>
      <c r="I15" s="7">
        <f t="shared" si="0"/>
        <v>0.7</v>
      </c>
      <c r="J15" s="5">
        <f t="shared" si="1"/>
        <v>2.4500000000000002</v>
      </c>
      <c r="K15" s="5">
        <f t="shared" si="2"/>
        <v>0.95</v>
      </c>
      <c r="L15" s="10">
        <f t="shared" si="3"/>
        <v>1.5</v>
      </c>
      <c r="M15" s="2">
        <v>1</v>
      </c>
      <c r="N15" s="2">
        <v>3</v>
      </c>
    </row>
    <row r="16" spans="1:198" x14ac:dyDescent="0.3">
      <c r="A16" s="2">
        <v>1958</v>
      </c>
      <c r="B16" s="2" t="s">
        <v>18</v>
      </c>
      <c r="C16" s="2">
        <v>20</v>
      </c>
      <c r="D16" s="2">
        <v>8</v>
      </c>
      <c r="E16" s="2">
        <v>12</v>
      </c>
      <c r="F16" s="2">
        <v>35</v>
      </c>
      <c r="G16" s="2">
        <v>37</v>
      </c>
      <c r="H16" s="2">
        <v>-2</v>
      </c>
      <c r="I16" s="7">
        <f t="shared" si="0"/>
        <v>0.4</v>
      </c>
      <c r="J16" s="5">
        <f t="shared" si="1"/>
        <v>1.75</v>
      </c>
      <c r="K16" s="5">
        <f t="shared" si="2"/>
        <v>1.85</v>
      </c>
      <c r="L16" s="10">
        <f t="shared" si="3"/>
        <v>-0.1</v>
      </c>
      <c r="M16" s="2">
        <v>2</v>
      </c>
      <c r="N16" s="2">
        <v>8</v>
      </c>
    </row>
    <row r="17" spans="1:14" x14ac:dyDescent="0.3">
      <c r="A17" s="2">
        <v>1958</v>
      </c>
      <c r="B17" s="2" t="s">
        <v>3</v>
      </c>
      <c r="C17" s="2">
        <v>20</v>
      </c>
      <c r="D17" s="2">
        <v>10</v>
      </c>
      <c r="E17" s="2">
        <v>10</v>
      </c>
      <c r="F17" s="2">
        <v>47</v>
      </c>
      <c r="G17" s="2">
        <v>25</v>
      </c>
      <c r="H17" s="2">
        <v>22</v>
      </c>
      <c r="I17" s="7">
        <f t="shared" si="0"/>
        <v>0.5</v>
      </c>
      <c r="J17" s="5">
        <f t="shared" si="1"/>
        <v>2.35</v>
      </c>
      <c r="K17" s="5">
        <f t="shared" si="2"/>
        <v>1.25</v>
      </c>
      <c r="L17" s="10">
        <f t="shared" si="3"/>
        <v>1.1000000000000001</v>
      </c>
      <c r="M17" s="2">
        <v>1</v>
      </c>
      <c r="N17" s="2">
        <v>5</v>
      </c>
    </row>
    <row r="18" spans="1:14" x14ac:dyDescent="0.3">
      <c r="A18" s="2">
        <v>1962</v>
      </c>
      <c r="B18" s="2" t="s">
        <v>7</v>
      </c>
      <c r="C18" s="2">
        <v>20</v>
      </c>
      <c r="D18" s="2">
        <v>14</v>
      </c>
      <c r="E18" s="2">
        <v>6</v>
      </c>
      <c r="F18" s="2">
        <v>54</v>
      </c>
      <c r="G18" s="2">
        <v>24</v>
      </c>
      <c r="H18" s="2">
        <v>30</v>
      </c>
      <c r="I18" s="7">
        <f t="shared" si="0"/>
        <v>0.7</v>
      </c>
      <c r="J18" s="5">
        <f t="shared" si="1"/>
        <v>2.7</v>
      </c>
      <c r="K18" s="5">
        <f t="shared" si="2"/>
        <v>1.2</v>
      </c>
      <c r="L18" s="10">
        <f t="shared" si="3"/>
        <v>1.5</v>
      </c>
      <c r="M18" s="2">
        <v>5</v>
      </c>
      <c r="N18" s="2">
        <v>1</v>
      </c>
    </row>
    <row r="19" spans="1:14" x14ac:dyDescent="0.3">
      <c r="A19" s="2">
        <v>1962</v>
      </c>
      <c r="B19" s="2" t="s">
        <v>19</v>
      </c>
      <c r="C19" s="2">
        <v>20</v>
      </c>
      <c r="D19" s="2">
        <v>12</v>
      </c>
      <c r="E19" s="2">
        <v>8</v>
      </c>
      <c r="F19" s="2">
        <v>64</v>
      </c>
      <c r="G19" s="2">
        <v>30</v>
      </c>
      <c r="H19" s="2">
        <v>34</v>
      </c>
      <c r="I19" s="7">
        <f t="shared" si="0"/>
        <v>0.6</v>
      </c>
      <c r="J19" s="5">
        <f t="shared" si="1"/>
        <v>3.2</v>
      </c>
      <c r="K19" s="5">
        <f t="shared" si="2"/>
        <v>1.5</v>
      </c>
      <c r="L19" s="10">
        <f t="shared" si="3"/>
        <v>1.7</v>
      </c>
      <c r="M19" s="2">
        <v>3</v>
      </c>
      <c r="N19" s="2">
        <v>4</v>
      </c>
    </row>
    <row r="20" spans="1:14" x14ac:dyDescent="0.3">
      <c r="A20" s="2">
        <v>1962</v>
      </c>
      <c r="B20" s="2" t="s">
        <v>14</v>
      </c>
      <c r="C20" s="2">
        <v>20</v>
      </c>
      <c r="D20" s="2">
        <v>11</v>
      </c>
      <c r="E20" s="2">
        <v>9</v>
      </c>
      <c r="F20" s="2">
        <v>45</v>
      </c>
      <c r="G20" s="2">
        <v>29</v>
      </c>
      <c r="H20" s="2">
        <v>16</v>
      </c>
      <c r="I20" s="7">
        <f t="shared" si="0"/>
        <v>0.55000000000000004</v>
      </c>
      <c r="J20" s="5">
        <f t="shared" si="1"/>
        <v>2.25</v>
      </c>
      <c r="K20" s="5">
        <f t="shared" si="2"/>
        <v>1.45</v>
      </c>
      <c r="L20" s="10">
        <f t="shared" si="3"/>
        <v>0.8</v>
      </c>
      <c r="M20" s="2">
        <v>1</v>
      </c>
      <c r="N20" s="2">
        <v>6</v>
      </c>
    </row>
    <row r="21" spans="1:14" x14ac:dyDescent="0.3">
      <c r="A21" s="2">
        <v>1962</v>
      </c>
      <c r="B21" s="2" t="s">
        <v>11</v>
      </c>
      <c r="C21" s="2">
        <v>20</v>
      </c>
      <c r="D21" s="2">
        <v>12</v>
      </c>
      <c r="E21" s="2">
        <v>8</v>
      </c>
      <c r="F21" s="2">
        <v>48</v>
      </c>
      <c r="G21" s="2">
        <v>24</v>
      </c>
      <c r="H21" s="2">
        <v>24</v>
      </c>
      <c r="I21" s="7">
        <f t="shared" si="0"/>
        <v>0.6</v>
      </c>
      <c r="J21" s="5">
        <f t="shared" si="1"/>
        <v>2.4</v>
      </c>
      <c r="K21" s="5">
        <f t="shared" si="2"/>
        <v>1.2</v>
      </c>
      <c r="L21" s="10">
        <f t="shared" si="3"/>
        <v>1.2</v>
      </c>
      <c r="M21" s="2">
        <v>1</v>
      </c>
      <c r="N21" s="2">
        <v>7</v>
      </c>
    </row>
    <row r="22" spans="1:14" x14ac:dyDescent="0.3">
      <c r="A22" s="2">
        <v>1962</v>
      </c>
      <c r="B22" s="2" t="s">
        <v>3</v>
      </c>
      <c r="C22" s="2">
        <v>20</v>
      </c>
      <c r="D22" s="2">
        <v>11</v>
      </c>
      <c r="E22" s="2">
        <v>9</v>
      </c>
      <c r="F22" s="2">
        <v>46</v>
      </c>
      <c r="G22" s="2">
        <v>31</v>
      </c>
      <c r="H22" s="2">
        <v>15</v>
      </c>
      <c r="I22" s="7">
        <f t="shared" si="0"/>
        <v>0.55000000000000004</v>
      </c>
      <c r="J22" s="5">
        <f t="shared" si="1"/>
        <v>2.2999999999999998</v>
      </c>
      <c r="K22" s="5">
        <f t="shared" si="2"/>
        <v>1.55</v>
      </c>
      <c r="L22" s="10">
        <f t="shared" si="3"/>
        <v>0.75</v>
      </c>
      <c r="M22" s="2">
        <v>1</v>
      </c>
      <c r="N22" s="2">
        <v>5</v>
      </c>
    </row>
    <row r="23" spans="1:14" x14ac:dyDescent="0.3">
      <c r="A23" s="2">
        <v>1962</v>
      </c>
      <c r="B23" s="2" t="s">
        <v>18</v>
      </c>
      <c r="C23" s="2">
        <v>20</v>
      </c>
      <c r="D23" s="2">
        <v>12</v>
      </c>
      <c r="E23" s="2">
        <v>8</v>
      </c>
      <c r="F23" s="2">
        <v>44</v>
      </c>
      <c r="G23" s="2">
        <v>28</v>
      </c>
      <c r="H23" s="2">
        <v>16</v>
      </c>
      <c r="I23" s="7">
        <f t="shared" si="0"/>
        <v>0.6</v>
      </c>
      <c r="J23" s="5">
        <f t="shared" si="1"/>
        <v>2.2000000000000002</v>
      </c>
      <c r="K23" s="5">
        <f t="shared" si="2"/>
        <v>1.4</v>
      </c>
      <c r="L23" s="10">
        <f t="shared" si="3"/>
        <v>0.8</v>
      </c>
      <c r="M23" s="2">
        <v>1</v>
      </c>
      <c r="N23" s="2">
        <v>10</v>
      </c>
    </row>
    <row r="24" spans="1:14" x14ac:dyDescent="0.3">
      <c r="A24" s="2">
        <v>1962</v>
      </c>
      <c r="B24" s="2" t="s">
        <v>4</v>
      </c>
      <c r="C24" s="2">
        <v>20</v>
      </c>
      <c r="D24" s="2">
        <v>7</v>
      </c>
      <c r="E24" s="2">
        <v>13</v>
      </c>
      <c r="F24" s="2">
        <v>33</v>
      </c>
      <c r="G24" s="2">
        <v>42</v>
      </c>
      <c r="H24" s="2">
        <v>-9</v>
      </c>
      <c r="I24" s="7">
        <f t="shared" si="0"/>
        <v>0.35</v>
      </c>
      <c r="J24" s="5">
        <f t="shared" si="1"/>
        <v>1.65</v>
      </c>
      <c r="K24" s="5">
        <f t="shared" si="2"/>
        <v>2.1</v>
      </c>
      <c r="L24" s="10">
        <f t="shared" si="3"/>
        <v>-0.45</v>
      </c>
      <c r="M24" s="2">
        <v>1</v>
      </c>
      <c r="N24" s="2">
        <v>24</v>
      </c>
    </row>
    <row r="25" spans="1:14" x14ac:dyDescent="0.3">
      <c r="A25" s="2">
        <v>1962</v>
      </c>
      <c r="B25" s="2" t="s">
        <v>22</v>
      </c>
      <c r="C25" s="2">
        <v>20</v>
      </c>
      <c r="D25" s="2">
        <v>14</v>
      </c>
      <c r="E25" s="2">
        <v>6</v>
      </c>
      <c r="F25" s="2">
        <v>47</v>
      </c>
      <c r="G25" s="2">
        <v>15</v>
      </c>
      <c r="H25" s="2">
        <v>32</v>
      </c>
      <c r="I25" s="7">
        <f t="shared" si="0"/>
        <v>0.7</v>
      </c>
      <c r="J25" s="5">
        <f t="shared" si="1"/>
        <v>2.35</v>
      </c>
      <c r="K25" s="5">
        <f t="shared" si="2"/>
        <v>0.75</v>
      </c>
      <c r="L25" s="10">
        <f t="shared" si="3"/>
        <v>1.6</v>
      </c>
      <c r="M25" s="2">
        <v>1</v>
      </c>
      <c r="N25" s="2">
        <v>3</v>
      </c>
    </row>
    <row r="26" spans="1:14" x14ac:dyDescent="0.3">
      <c r="A26" s="2">
        <v>1966</v>
      </c>
      <c r="B26" s="2" t="s">
        <v>19</v>
      </c>
      <c r="C26" s="2">
        <v>20</v>
      </c>
      <c r="D26" s="2">
        <v>14</v>
      </c>
      <c r="E26" s="2">
        <v>6</v>
      </c>
      <c r="F26" s="2">
        <v>48</v>
      </c>
      <c r="G26" s="2">
        <v>24</v>
      </c>
      <c r="H26" s="2">
        <v>24</v>
      </c>
      <c r="I26" s="7">
        <f t="shared" si="0"/>
        <v>0.7</v>
      </c>
      <c r="J26" s="5">
        <f t="shared" si="1"/>
        <v>2.4</v>
      </c>
      <c r="K26" s="5">
        <f t="shared" si="2"/>
        <v>1.2</v>
      </c>
      <c r="L26" s="10">
        <f t="shared" si="3"/>
        <v>1.2</v>
      </c>
      <c r="M26" s="2">
        <v>4</v>
      </c>
      <c r="N26" s="2">
        <v>2</v>
      </c>
    </row>
    <row r="27" spans="1:14" x14ac:dyDescent="0.3">
      <c r="A27" s="2">
        <v>1966</v>
      </c>
      <c r="B27" s="2" t="s">
        <v>1</v>
      </c>
      <c r="C27" s="2">
        <v>20</v>
      </c>
      <c r="D27" s="2">
        <v>10</v>
      </c>
      <c r="E27" s="2">
        <v>10</v>
      </c>
      <c r="F27" s="2">
        <v>34</v>
      </c>
      <c r="G27" s="2">
        <v>22</v>
      </c>
      <c r="H27" s="2">
        <v>12</v>
      </c>
      <c r="I27" s="7">
        <f t="shared" si="0"/>
        <v>0.5</v>
      </c>
      <c r="J27" s="5">
        <f t="shared" si="1"/>
        <v>1.7</v>
      </c>
      <c r="K27" s="5">
        <f t="shared" si="2"/>
        <v>1.1000000000000001</v>
      </c>
      <c r="L27" s="10">
        <f t="shared" si="3"/>
        <v>0.6</v>
      </c>
      <c r="M27" s="2">
        <v>1</v>
      </c>
      <c r="N27" s="2">
        <v>10</v>
      </c>
    </row>
    <row r="28" spans="1:14" x14ac:dyDescent="0.3">
      <c r="A28" s="2">
        <v>1966</v>
      </c>
      <c r="B28" s="2" t="s">
        <v>18</v>
      </c>
      <c r="C28" s="2">
        <v>20</v>
      </c>
      <c r="D28" s="2">
        <v>12</v>
      </c>
      <c r="E28" s="2">
        <v>8</v>
      </c>
      <c r="F28" s="2">
        <v>46</v>
      </c>
      <c r="G28" s="2">
        <v>16</v>
      </c>
      <c r="H28" s="2">
        <v>30</v>
      </c>
      <c r="I28" s="7">
        <f t="shared" si="0"/>
        <v>0.6</v>
      </c>
      <c r="J28" s="5">
        <f t="shared" si="1"/>
        <v>2.2999999999999998</v>
      </c>
      <c r="K28" s="5">
        <f t="shared" si="2"/>
        <v>0.8</v>
      </c>
      <c r="L28" s="10">
        <f t="shared" si="3"/>
        <v>1.5</v>
      </c>
      <c r="M28" s="2">
        <v>2</v>
      </c>
      <c r="N28" s="2">
        <v>3</v>
      </c>
    </row>
    <row r="29" spans="1:14" x14ac:dyDescent="0.3">
      <c r="A29" s="2">
        <v>1966</v>
      </c>
      <c r="B29" s="2" t="s">
        <v>0</v>
      </c>
      <c r="C29" s="2">
        <v>20</v>
      </c>
      <c r="D29" s="2">
        <v>11</v>
      </c>
      <c r="E29" s="2">
        <v>9</v>
      </c>
      <c r="F29" s="2">
        <v>33</v>
      </c>
      <c r="G29" s="2">
        <v>16</v>
      </c>
      <c r="H29" s="2">
        <v>17</v>
      </c>
      <c r="I29" s="7">
        <f t="shared" si="0"/>
        <v>0.55000000000000004</v>
      </c>
      <c r="J29" s="5">
        <f t="shared" si="1"/>
        <v>1.65</v>
      </c>
      <c r="K29" s="5">
        <f t="shared" si="2"/>
        <v>0.8</v>
      </c>
      <c r="L29" s="10">
        <f t="shared" si="3"/>
        <v>0.85</v>
      </c>
      <c r="M29" s="2">
        <v>0</v>
      </c>
      <c r="N29" s="2">
        <v>6</v>
      </c>
    </row>
    <row r="30" spans="1:14" x14ac:dyDescent="0.3">
      <c r="A30" s="2">
        <v>1966</v>
      </c>
      <c r="B30" s="2" t="s">
        <v>23</v>
      </c>
      <c r="C30" s="2">
        <v>20</v>
      </c>
      <c r="D30" s="2">
        <v>11</v>
      </c>
      <c r="E30" s="2">
        <v>9</v>
      </c>
      <c r="F30" s="2">
        <v>37</v>
      </c>
      <c r="G30" s="2">
        <v>23</v>
      </c>
      <c r="H30" s="2">
        <v>14</v>
      </c>
      <c r="I30" s="7">
        <f t="shared" si="0"/>
        <v>0.55000000000000004</v>
      </c>
      <c r="J30" s="5">
        <f t="shared" si="1"/>
        <v>1.85</v>
      </c>
      <c r="K30" s="5">
        <f t="shared" si="2"/>
        <v>1.1499999999999999</v>
      </c>
      <c r="L30" s="10">
        <f t="shared" si="3"/>
        <v>0.7</v>
      </c>
      <c r="M30" s="2">
        <v>1</v>
      </c>
      <c r="N30" s="2">
        <v>11</v>
      </c>
    </row>
    <row r="31" spans="1:14" x14ac:dyDescent="0.3">
      <c r="A31" s="2">
        <v>1966</v>
      </c>
      <c r="B31" s="2" t="s">
        <v>11</v>
      </c>
      <c r="C31" s="2">
        <v>20</v>
      </c>
      <c r="D31" s="2">
        <v>11</v>
      </c>
      <c r="E31" s="2">
        <v>9</v>
      </c>
      <c r="F31" s="2">
        <v>44</v>
      </c>
      <c r="G31" s="2">
        <v>23</v>
      </c>
      <c r="H31" s="2">
        <v>21</v>
      </c>
      <c r="I31" s="7">
        <f t="shared" si="0"/>
        <v>0.55000000000000004</v>
      </c>
      <c r="J31" s="5">
        <f t="shared" si="1"/>
        <v>2.2000000000000002</v>
      </c>
      <c r="K31" s="5">
        <f t="shared" si="2"/>
        <v>1.1499999999999999</v>
      </c>
      <c r="L31" s="10">
        <f t="shared" si="3"/>
        <v>1.05</v>
      </c>
      <c r="M31" s="2">
        <v>1</v>
      </c>
      <c r="N31" s="2">
        <v>5</v>
      </c>
    </row>
    <row r="32" spans="1:14" x14ac:dyDescent="0.3">
      <c r="A32" s="2">
        <v>1966</v>
      </c>
      <c r="B32" s="2" t="s">
        <v>22</v>
      </c>
      <c r="C32" s="2">
        <v>20</v>
      </c>
      <c r="D32" s="2">
        <v>13</v>
      </c>
      <c r="E32" s="2">
        <v>7</v>
      </c>
      <c r="F32" s="2">
        <v>39</v>
      </c>
      <c r="G32" s="2">
        <v>15</v>
      </c>
      <c r="H32" s="2">
        <v>24</v>
      </c>
      <c r="I32" s="7">
        <f t="shared" si="0"/>
        <v>0.65</v>
      </c>
      <c r="J32" s="5">
        <f t="shared" si="1"/>
        <v>1.95</v>
      </c>
      <c r="K32" s="5">
        <f t="shared" si="2"/>
        <v>0.75</v>
      </c>
      <c r="L32" s="10">
        <f t="shared" si="3"/>
        <v>1.2</v>
      </c>
      <c r="M32" s="2">
        <v>1</v>
      </c>
      <c r="N32" s="2">
        <v>4</v>
      </c>
    </row>
    <row r="33" spans="1:14" x14ac:dyDescent="0.3">
      <c r="A33" s="2">
        <v>1966</v>
      </c>
      <c r="B33" s="1" t="s">
        <v>24</v>
      </c>
      <c r="C33" s="2">
        <v>4</v>
      </c>
      <c r="D33" s="2">
        <v>4</v>
      </c>
      <c r="E33" s="2">
        <v>0</v>
      </c>
      <c r="F33" s="2">
        <v>14</v>
      </c>
      <c r="G33" s="2">
        <v>2</v>
      </c>
      <c r="H33" s="2">
        <v>12</v>
      </c>
      <c r="I33" s="7">
        <f t="shared" si="0"/>
        <v>1</v>
      </c>
      <c r="J33" s="5">
        <f t="shared" si="1"/>
        <v>3.5</v>
      </c>
      <c r="K33" s="5">
        <f t="shared" si="2"/>
        <v>0.5</v>
      </c>
      <c r="L33" s="10">
        <f t="shared" si="3"/>
        <v>3</v>
      </c>
      <c r="M33" s="2">
        <v>1</v>
      </c>
      <c r="N33" s="2">
        <v>31</v>
      </c>
    </row>
    <row r="34" spans="1:14" x14ac:dyDescent="0.3">
      <c r="A34" s="2">
        <v>1970</v>
      </c>
      <c r="B34" s="2" t="s">
        <v>7</v>
      </c>
      <c r="C34" s="2">
        <v>20</v>
      </c>
      <c r="D34" s="2">
        <v>18</v>
      </c>
      <c r="E34" s="2">
        <v>2</v>
      </c>
      <c r="F34" s="2">
        <v>58</v>
      </c>
      <c r="G34" s="2">
        <v>15</v>
      </c>
      <c r="H34" s="2">
        <v>43</v>
      </c>
      <c r="I34" s="7">
        <f t="shared" si="0"/>
        <v>0.9</v>
      </c>
      <c r="J34" s="5">
        <f t="shared" si="1"/>
        <v>2.9</v>
      </c>
      <c r="K34" s="5">
        <f t="shared" si="2"/>
        <v>0.75</v>
      </c>
      <c r="L34" s="10">
        <f t="shared" si="3"/>
        <v>2.15</v>
      </c>
      <c r="M34" s="2">
        <v>6</v>
      </c>
      <c r="N34" s="2">
        <v>1</v>
      </c>
    </row>
    <row r="35" spans="1:14" x14ac:dyDescent="0.3">
      <c r="A35" s="2">
        <v>1970</v>
      </c>
      <c r="B35" s="2" t="s">
        <v>25</v>
      </c>
      <c r="C35" s="2">
        <v>20</v>
      </c>
      <c r="D35" s="2">
        <v>7</v>
      </c>
      <c r="E35" s="2">
        <v>13</v>
      </c>
      <c r="F35" s="2">
        <v>25</v>
      </c>
      <c r="G35" s="2">
        <v>26</v>
      </c>
      <c r="H35" s="2">
        <v>-1</v>
      </c>
      <c r="I35" s="7">
        <f t="shared" si="0"/>
        <v>0.35</v>
      </c>
      <c r="J35" s="5">
        <f t="shared" si="1"/>
        <v>1.25</v>
      </c>
      <c r="K35" s="5">
        <f t="shared" si="2"/>
        <v>1.3</v>
      </c>
      <c r="L35" s="10">
        <f t="shared" si="3"/>
        <v>-0.05</v>
      </c>
      <c r="M35" s="2">
        <v>1</v>
      </c>
      <c r="N35" s="2">
        <v>15</v>
      </c>
    </row>
    <row r="36" spans="1:14" x14ac:dyDescent="0.3">
      <c r="A36" s="2">
        <v>1970</v>
      </c>
      <c r="B36" s="2" t="s">
        <v>1</v>
      </c>
      <c r="C36" s="2">
        <v>20</v>
      </c>
      <c r="D36" s="2">
        <v>10</v>
      </c>
      <c r="E36" s="2">
        <v>10</v>
      </c>
      <c r="F36" s="2">
        <v>24</v>
      </c>
      <c r="G36" s="2">
        <v>14</v>
      </c>
      <c r="H36" s="2">
        <v>10</v>
      </c>
      <c r="I36" s="7">
        <f t="shared" si="0"/>
        <v>0.5</v>
      </c>
      <c r="J36" s="5">
        <f t="shared" si="1"/>
        <v>1.2</v>
      </c>
      <c r="K36" s="5">
        <f t="shared" si="2"/>
        <v>0.7</v>
      </c>
      <c r="L36" s="10">
        <f t="shared" si="3"/>
        <v>0.5</v>
      </c>
      <c r="M36" s="2">
        <v>1</v>
      </c>
      <c r="N36" s="2">
        <v>10</v>
      </c>
    </row>
    <row r="37" spans="1:14" x14ac:dyDescent="0.3">
      <c r="A37" s="2">
        <v>1970</v>
      </c>
      <c r="B37" s="2" t="s">
        <v>22</v>
      </c>
      <c r="C37" s="2">
        <v>20</v>
      </c>
      <c r="D37" s="2">
        <v>12</v>
      </c>
      <c r="E37" s="2">
        <v>8</v>
      </c>
      <c r="F37" s="2">
        <v>34</v>
      </c>
      <c r="G37" s="2">
        <v>11</v>
      </c>
      <c r="H37" s="2">
        <v>23</v>
      </c>
      <c r="I37" s="7">
        <f t="shared" si="0"/>
        <v>0.6</v>
      </c>
      <c r="J37" s="5">
        <f t="shared" si="1"/>
        <v>1.7</v>
      </c>
      <c r="K37" s="5">
        <f t="shared" si="2"/>
        <v>0.55000000000000004</v>
      </c>
      <c r="L37" s="10">
        <f t="shared" si="3"/>
        <v>1.1499999999999999</v>
      </c>
      <c r="M37" s="2">
        <v>1</v>
      </c>
      <c r="N37" s="2">
        <v>4</v>
      </c>
    </row>
    <row r="38" spans="1:14" x14ac:dyDescent="0.3">
      <c r="A38" s="2">
        <v>1970</v>
      </c>
      <c r="B38" s="2" t="s">
        <v>8</v>
      </c>
      <c r="C38" s="2">
        <v>20</v>
      </c>
      <c r="D38" s="2">
        <v>12</v>
      </c>
      <c r="E38" s="2">
        <v>8</v>
      </c>
      <c r="F38" s="2">
        <v>39</v>
      </c>
      <c r="G38" s="2">
        <v>13</v>
      </c>
      <c r="H38" s="2">
        <v>26</v>
      </c>
      <c r="I38" s="7">
        <f t="shared" si="0"/>
        <v>0.6</v>
      </c>
      <c r="J38" s="5">
        <f t="shared" si="1"/>
        <v>1.95</v>
      </c>
      <c r="K38" s="5">
        <f t="shared" si="2"/>
        <v>0.65</v>
      </c>
      <c r="L38" s="10">
        <f t="shared" si="3"/>
        <v>1.3</v>
      </c>
      <c r="M38" s="2">
        <v>3</v>
      </c>
      <c r="N38" s="2">
        <v>3</v>
      </c>
    </row>
    <row r="39" spans="1:14" x14ac:dyDescent="0.3">
      <c r="A39" s="2">
        <v>1970</v>
      </c>
      <c r="B39" s="2" t="s">
        <v>26</v>
      </c>
      <c r="C39" s="2">
        <v>20</v>
      </c>
      <c r="D39" s="2">
        <v>10</v>
      </c>
      <c r="E39" s="2">
        <v>10</v>
      </c>
      <c r="F39" s="2">
        <v>29</v>
      </c>
      <c r="G39" s="2">
        <v>17</v>
      </c>
      <c r="H39" s="2">
        <v>12</v>
      </c>
      <c r="I39" s="7">
        <f t="shared" si="0"/>
        <v>0.5</v>
      </c>
      <c r="J39" s="5">
        <f t="shared" si="1"/>
        <v>1.45</v>
      </c>
      <c r="K39" s="5">
        <f t="shared" si="2"/>
        <v>0.85</v>
      </c>
      <c r="L39" s="10">
        <f t="shared" si="3"/>
        <v>0.6</v>
      </c>
      <c r="M39" s="2">
        <v>0</v>
      </c>
      <c r="N39" s="2">
        <v>18</v>
      </c>
    </row>
    <row r="40" spans="1:14" x14ac:dyDescent="0.3">
      <c r="A40" s="2">
        <v>1970</v>
      </c>
      <c r="B40" s="2" t="s">
        <v>18</v>
      </c>
      <c r="C40" s="2">
        <v>20</v>
      </c>
      <c r="D40" s="2">
        <v>14</v>
      </c>
      <c r="E40" s="2">
        <v>6</v>
      </c>
      <c r="F40" s="2">
        <v>53</v>
      </c>
      <c r="G40" s="2">
        <v>19</v>
      </c>
      <c r="H40" s="2">
        <v>34</v>
      </c>
      <c r="I40" s="7">
        <f t="shared" si="0"/>
        <v>0.7</v>
      </c>
      <c r="J40" s="5">
        <f t="shared" si="1"/>
        <v>2.65</v>
      </c>
      <c r="K40" s="5">
        <f t="shared" si="2"/>
        <v>0.95</v>
      </c>
      <c r="L40" s="10">
        <f t="shared" si="3"/>
        <v>1.7</v>
      </c>
      <c r="M40" s="2">
        <v>3</v>
      </c>
      <c r="N40" s="2">
        <v>5</v>
      </c>
    </row>
    <row r="41" spans="1:14" x14ac:dyDescent="0.3">
      <c r="A41" s="2">
        <v>1970</v>
      </c>
      <c r="B41" s="2" t="s">
        <v>19</v>
      </c>
      <c r="C41" s="2">
        <v>20</v>
      </c>
      <c r="D41" s="2">
        <v>14</v>
      </c>
      <c r="E41" s="2">
        <v>6</v>
      </c>
      <c r="F41" s="2">
        <v>44</v>
      </c>
      <c r="G41" s="2">
        <v>12</v>
      </c>
      <c r="H41" s="2">
        <v>32</v>
      </c>
      <c r="I41" s="7">
        <f t="shared" si="0"/>
        <v>0.7</v>
      </c>
      <c r="J41" s="5">
        <f t="shared" si="1"/>
        <v>2.2000000000000002</v>
      </c>
      <c r="K41" s="5">
        <f t="shared" si="2"/>
        <v>0.6</v>
      </c>
      <c r="L41" s="10">
        <f t="shared" si="3"/>
        <v>1.6</v>
      </c>
      <c r="M41" s="2">
        <v>4</v>
      </c>
      <c r="N41" s="2">
        <v>2</v>
      </c>
    </row>
    <row r="42" spans="1:14" x14ac:dyDescent="0.3">
      <c r="A42" s="2">
        <v>1986</v>
      </c>
      <c r="B42" s="2" t="s">
        <v>0</v>
      </c>
      <c r="C42" s="2">
        <v>20</v>
      </c>
      <c r="D42" s="2">
        <v>8</v>
      </c>
      <c r="E42" s="2">
        <v>12</v>
      </c>
      <c r="F42" s="2">
        <v>28</v>
      </c>
      <c r="G42" s="2">
        <v>21</v>
      </c>
      <c r="H42" s="2">
        <v>7</v>
      </c>
      <c r="I42" s="7">
        <f t="shared" si="0"/>
        <v>0.4</v>
      </c>
      <c r="J42" s="5">
        <f t="shared" si="1"/>
        <v>1.4</v>
      </c>
      <c r="K42" s="5">
        <f t="shared" si="2"/>
        <v>1.05</v>
      </c>
      <c r="L42" s="10">
        <f t="shared" si="3"/>
        <v>0.35</v>
      </c>
      <c r="M42" s="2">
        <v>1</v>
      </c>
      <c r="N42" s="2">
        <v>11</v>
      </c>
    </row>
    <row r="43" spans="1:14" x14ac:dyDescent="0.3">
      <c r="A43" s="2">
        <v>1986</v>
      </c>
      <c r="B43" s="2" t="s">
        <v>19</v>
      </c>
      <c r="C43" s="2">
        <v>20</v>
      </c>
      <c r="D43" s="2">
        <v>12</v>
      </c>
      <c r="E43" s="2">
        <v>8</v>
      </c>
      <c r="F43" s="2">
        <v>43</v>
      </c>
      <c r="G43" s="2">
        <v>12</v>
      </c>
      <c r="H43" s="2">
        <v>31</v>
      </c>
      <c r="I43" s="7">
        <f t="shared" si="0"/>
        <v>0.6</v>
      </c>
      <c r="J43" s="5">
        <f t="shared" si="1"/>
        <v>2.15</v>
      </c>
      <c r="K43" s="5">
        <f t="shared" si="2"/>
        <v>0.6</v>
      </c>
      <c r="L43" s="10">
        <f t="shared" si="3"/>
        <v>1.55</v>
      </c>
      <c r="M43" s="2">
        <v>1</v>
      </c>
      <c r="N43" s="2">
        <v>5</v>
      </c>
    </row>
    <row r="44" spans="1:14" x14ac:dyDescent="0.3">
      <c r="A44" s="2">
        <v>1986</v>
      </c>
      <c r="B44" s="2" t="s">
        <v>18</v>
      </c>
      <c r="C44" s="2">
        <v>20</v>
      </c>
      <c r="D44" s="2">
        <v>11</v>
      </c>
      <c r="E44" s="2">
        <v>9</v>
      </c>
      <c r="F44" s="2">
        <v>34</v>
      </c>
      <c r="G44" s="2">
        <v>21</v>
      </c>
      <c r="H44" s="2">
        <v>13</v>
      </c>
      <c r="I44" s="7">
        <f t="shared" si="0"/>
        <v>0.55000000000000004</v>
      </c>
      <c r="J44" s="5">
        <f t="shared" si="1"/>
        <v>1.7</v>
      </c>
      <c r="K44" s="5">
        <f t="shared" si="2"/>
        <v>1.05</v>
      </c>
      <c r="L44" s="10">
        <f t="shared" si="3"/>
        <v>0.65</v>
      </c>
      <c r="M44" s="2">
        <v>2</v>
      </c>
      <c r="N44" s="2">
        <v>4</v>
      </c>
    </row>
    <row r="45" spans="1:14" x14ac:dyDescent="0.3">
      <c r="A45" s="2">
        <v>1986</v>
      </c>
      <c r="B45" s="2" t="s">
        <v>26</v>
      </c>
      <c r="C45" s="2">
        <v>20</v>
      </c>
      <c r="D45" s="2">
        <v>10</v>
      </c>
      <c r="E45" s="2">
        <v>10</v>
      </c>
      <c r="F45" s="2">
        <v>31</v>
      </c>
      <c r="G45" s="2">
        <v>17</v>
      </c>
      <c r="H45" s="2">
        <v>14</v>
      </c>
      <c r="I45" s="7">
        <f t="shared" si="0"/>
        <v>0.5</v>
      </c>
      <c r="J45" s="5">
        <f t="shared" si="1"/>
        <v>1.55</v>
      </c>
      <c r="K45" s="5">
        <f t="shared" si="2"/>
        <v>0.85</v>
      </c>
      <c r="L45" s="10">
        <f t="shared" si="3"/>
        <v>0.7</v>
      </c>
      <c r="M45" s="2">
        <v>1</v>
      </c>
      <c r="N45" s="2">
        <v>17</v>
      </c>
    </row>
    <row r="46" spans="1:14" x14ac:dyDescent="0.3">
      <c r="A46" s="2">
        <v>1986</v>
      </c>
      <c r="B46" s="2" t="s">
        <v>16</v>
      </c>
      <c r="C46" s="2">
        <v>20</v>
      </c>
      <c r="D46" s="2">
        <v>11</v>
      </c>
      <c r="E46" s="2">
        <v>9</v>
      </c>
      <c r="F46" s="2">
        <v>32</v>
      </c>
      <c r="G46" s="2">
        <v>16</v>
      </c>
      <c r="H46" s="2">
        <v>16</v>
      </c>
      <c r="I46" s="7">
        <f t="shared" si="0"/>
        <v>0.55000000000000004</v>
      </c>
      <c r="J46" s="5">
        <f t="shared" si="1"/>
        <v>1.6</v>
      </c>
      <c r="K46" s="5">
        <f t="shared" si="2"/>
        <v>0.8</v>
      </c>
      <c r="L46" s="10">
        <f t="shared" si="3"/>
        <v>0.8</v>
      </c>
      <c r="M46" s="2">
        <v>1</v>
      </c>
      <c r="N46" s="2">
        <v>1</v>
      </c>
    </row>
    <row r="47" spans="1:14" x14ac:dyDescent="0.3">
      <c r="A47" s="2">
        <v>1986</v>
      </c>
      <c r="B47" s="2" t="s">
        <v>7</v>
      </c>
      <c r="C47" s="2">
        <v>20</v>
      </c>
      <c r="D47" s="2">
        <v>12</v>
      </c>
      <c r="E47" s="2">
        <v>8</v>
      </c>
      <c r="F47" s="2">
        <v>33</v>
      </c>
      <c r="G47" s="2">
        <v>16</v>
      </c>
      <c r="H47" s="2">
        <v>17</v>
      </c>
      <c r="I47" s="7">
        <f t="shared" si="0"/>
        <v>0.6</v>
      </c>
      <c r="J47" s="5">
        <f t="shared" si="1"/>
        <v>1.65</v>
      </c>
      <c r="K47" s="5">
        <f t="shared" si="2"/>
        <v>0.8</v>
      </c>
      <c r="L47" s="10">
        <f t="shared" si="3"/>
        <v>0.85</v>
      </c>
      <c r="M47" s="2">
        <v>2</v>
      </c>
      <c r="N47" s="2">
        <v>3</v>
      </c>
    </row>
    <row r="48" spans="1:14" x14ac:dyDescent="0.3">
      <c r="A48" s="2">
        <v>1986</v>
      </c>
      <c r="B48" s="2" t="s">
        <v>28</v>
      </c>
      <c r="C48" s="2">
        <v>20</v>
      </c>
      <c r="D48" s="2">
        <v>8</v>
      </c>
      <c r="E48" s="2">
        <v>12</v>
      </c>
      <c r="F48" s="2">
        <v>28</v>
      </c>
      <c r="G48" s="2">
        <v>24</v>
      </c>
      <c r="H48" s="2">
        <v>4</v>
      </c>
      <c r="I48" s="7">
        <f t="shared" si="0"/>
        <v>0.4</v>
      </c>
      <c r="J48" s="5">
        <f t="shared" si="1"/>
        <v>1.4</v>
      </c>
      <c r="K48" s="5">
        <f t="shared" si="2"/>
        <v>1.2</v>
      </c>
      <c r="L48" s="10">
        <f t="shared" si="3"/>
        <v>0.2</v>
      </c>
      <c r="M48" s="2">
        <v>1</v>
      </c>
      <c r="N48" s="2">
        <v>16</v>
      </c>
    </row>
    <row r="49" spans="1:14" x14ac:dyDescent="0.3">
      <c r="A49" s="2">
        <v>1986</v>
      </c>
      <c r="B49" s="2" t="s">
        <v>9</v>
      </c>
      <c r="C49" s="2">
        <v>20</v>
      </c>
      <c r="D49" s="2">
        <v>11</v>
      </c>
      <c r="E49" s="2">
        <v>9</v>
      </c>
      <c r="F49" s="2">
        <v>29</v>
      </c>
      <c r="G49" s="2">
        <v>19</v>
      </c>
      <c r="H49" s="2">
        <v>10</v>
      </c>
      <c r="I49" s="7">
        <f t="shared" si="0"/>
        <v>0.55000000000000004</v>
      </c>
      <c r="J49" s="5">
        <f t="shared" si="1"/>
        <v>1.45</v>
      </c>
      <c r="K49" s="5">
        <f t="shared" si="2"/>
        <v>0.95</v>
      </c>
      <c r="L49" s="10">
        <f t="shared" si="3"/>
        <v>0.5</v>
      </c>
      <c r="M49" s="2">
        <v>1</v>
      </c>
      <c r="N49" s="2">
        <v>8</v>
      </c>
    </row>
    <row r="50" spans="1:14" x14ac:dyDescent="0.3">
      <c r="A50" s="2">
        <v>1990</v>
      </c>
      <c r="B50" s="2" t="s">
        <v>8</v>
      </c>
      <c r="C50" s="2">
        <v>20</v>
      </c>
      <c r="D50" s="2">
        <v>13</v>
      </c>
      <c r="E50" s="2">
        <v>7</v>
      </c>
      <c r="F50" s="2">
        <v>31</v>
      </c>
      <c r="G50" s="2">
        <v>7</v>
      </c>
      <c r="H50" s="2">
        <v>24</v>
      </c>
      <c r="I50" s="7">
        <f t="shared" si="0"/>
        <v>0.65</v>
      </c>
      <c r="J50" s="5">
        <f t="shared" si="1"/>
        <v>1.55</v>
      </c>
      <c r="K50" s="5">
        <f t="shared" si="2"/>
        <v>0.35</v>
      </c>
      <c r="L50" s="10">
        <f t="shared" si="3"/>
        <v>1.2</v>
      </c>
      <c r="M50" s="2">
        <v>2</v>
      </c>
      <c r="N50" s="2">
        <v>3</v>
      </c>
    </row>
    <row r="51" spans="1:14" x14ac:dyDescent="0.3">
      <c r="A51" s="2">
        <v>1990</v>
      </c>
      <c r="B51" s="2" t="s">
        <v>29</v>
      </c>
      <c r="C51" s="2">
        <v>20</v>
      </c>
      <c r="D51" s="2">
        <v>11</v>
      </c>
      <c r="E51" s="2">
        <v>9</v>
      </c>
      <c r="F51" s="2">
        <v>28</v>
      </c>
      <c r="G51" s="2">
        <v>13</v>
      </c>
      <c r="H51" s="2">
        <v>15</v>
      </c>
      <c r="I51" s="7">
        <f t="shared" si="0"/>
        <v>0.55000000000000004</v>
      </c>
      <c r="J51" s="5">
        <f t="shared" si="1"/>
        <v>1.4</v>
      </c>
      <c r="K51" s="5">
        <f t="shared" si="2"/>
        <v>0.65</v>
      </c>
      <c r="L51" s="10">
        <f t="shared" si="3"/>
        <v>0.75</v>
      </c>
      <c r="M51" s="2">
        <v>0</v>
      </c>
      <c r="N51" s="2">
        <v>14</v>
      </c>
    </row>
    <row r="52" spans="1:14" x14ac:dyDescent="0.3">
      <c r="A52" s="2">
        <v>1990</v>
      </c>
      <c r="B52" s="2" t="s">
        <v>0</v>
      </c>
      <c r="C52" s="2">
        <v>20</v>
      </c>
      <c r="D52" s="2">
        <v>6</v>
      </c>
      <c r="E52" s="2">
        <v>14</v>
      </c>
      <c r="F52" s="2">
        <v>15</v>
      </c>
      <c r="G52" s="2">
        <v>18</v>
      </c>
      <c r="H52" s="2">
        <v>-3</v>
      </c>
      <c r="I52" s="7">
        <f t="shared" si="0"/>
        <v>0.3</v>
      </c>
      <c r="J52" s="5">
        <f t="shared" si="1"/>
        <v>0.75</v>
      </c>
      <c r="K52" s="5">
        <f t="shared" si="2"/>
        <v>0.9</v>
      </c>
      <c r="L52" s="10">
        <f t="shared" si="3"/>
        <v>-0.15</v>
      </c>
      <c r="M52" s="2">
        <v>1</v>
      </c>
      <c r="N52" s="2">
        <v>10</v>
      </c>
    </row>
    <row r="53" spans="1:14" x14ac:dyDescent="0.3">
      <c r="A53" s="2">
        <v>1990</v>
      </c>
      <c r="B53" s="2" t="s">
        <v>3</v>
      </c>
      <c r="C53" s="2">
        <v>20</v>
      </c>
      <c r="D53" s="2">
        <v>11</v>
      </c>
      <c r="E53" s="2">
        <v>9</v>
      </c>
      <c r="F53" s="2">
        <v>32</v>
      </c>
      <c r="G53" s="2">
        <v>19</v>
      </c>
      <c r="H53" s="2">
        <v>13</v>
      </c>
      <c r="I53" s="7">
        <f t="shared" si="0"/>
        <v>0.55000000000000004</v>
      </c>
      <c r="J53" s="5">
        <f t="shared" si="1"/>
        <v>1.6</v>
      </c>
      <c r="K53" s="5">
        <f t="shared" si="2"/>
        <v>0.95</v>
      </c>
      <c r="L53" s="10">
        <f t="shared" si="3"/>
        <v>0.65</v>
      </c>
      <c r="M53" s="2">
        <v>1</v>
      </c>
      <c r="N53" s="2">
        <v>12</v>
      </c>
    </row>
    <row r="54" spans="1:14" x14ac:dyDescent="0.3">
      <c r="A54" s="2">
        <v>1990</v>
      </c>
      <c r="B54" s="2" t="s">
        <v>18</v>
      </c>
      <c r="C54" s="2">
        <v>20</v>
      </c>
      <c r="D54" s="2">
        <v>11</v>
      </c>
      <c r="E54" s="2">
        <v>9</v>
      </c>
      <c r="F54" s="2">
        <v>38</v>
      </c>
      <c r="G54" s="2">
        <v>19</v>
      </c>
      <c r="H54" s="2">
        <v>19</v>
      </c>
      <c r="I54" s="7">
        <f t="shared" si="0"/>
        <v>0.55000000000000004</v>
      </c>
      <c r="J54" s="5">
        <f t="shared" si="1"/>
        <v>1.9</v>
      </c>
      <c r="K54" s="5">
        <f t="shared" si="2"/>
        <v>0.95</v>
      </c>
      <c r="L54" s="10">
        <f t="shared" si="3"/>
        <v>0.95</v>
      </c>
      <c r="M54" s="2">
        <v>3</v>
      </c>
      <c r="N54" s="2">
        <v>2</v>
      </c>
    </row>
    <row r="55" spans="1:14" x14ac:dyDescent="0.3">
      <c r="A55" s="2">
        <v>1990</v>
      </c>
      <c r="B55" s="2" t="s">
        <v>14</v>
      </c>
      <c r="C55" s="2">
        <v>20</v>
      </c>
      <c r="D55" s="2">
        <v>10</v>
      </c>
      <c r="E55" s="2">
        <v>10</v>
      </c>
      <c r="F55" s="2">
        <v>33</v>
      </c>
      <c r="G55" s="2">
        <v>19</v>
      </c>
      <c r="H55" s="2">
        <v>14</v>
      </c>
      <c r="I55" s="7">
        <f t="shared" si="0"/>
        <v>0.5</v>
      </c>
      <c r="J55" s="5">
        <f t="shared" si="1"/>
        <v>1.65</v>
      </c>
      <c r="K55" s="5">
        <f t="shared" si="2"/>
        <v>0.95</v>
      </c>
      <c r="L55" s="10">
        <f t="shared" si="3"/>
        <v>0.7</v>
      </c>
      <c r="M55" s="2">
        <v>0</v>
      </c>
      <c r="N55" s="2">
        <v>16</v>
      </c>
    </row>
    <row r="56" spans="1:14" x14ac:dyDescent="0.3">
      <c r="A56" s="2">
        <v>1990</v>
      </c>
      <c r="B56" s="2" t="s">
        <v>19</v>
      </c>
      <c r="C56" s="2">
        <v>20</v>
      </c>
      <c r="D56" s="2">
        <v>11</v>
      </c>
      <c r="E56" s="2">
        <v>9</v>
      </c>
      <c r="F56" s="2">
        <v>34</v>
      </c>
      <c r="G56" s="2">
        <v>12</v>
      </c>
      <c r="H56" s="2">
        <v>22</v>
      </c>
      <c r="I56" s="7">
        <f t="shared" si="0"/>
        <v>0.55000000000000004</v>
      </c>
      <c r="J56" s="5">
        <f t="shared" si="1"/>
        <v>1.7</v>
      </c>
      <c r="K56" s="5">
        <f t="shared" si="2"/>
        <v>0.6</v>
      </c>
      <c r="L56" s="10">
        <f t="shared" si="3"/>
        <v>1.1000000000000001</v>
      </c>
      <c r="M56" s="2">
        <v>2</v>
      </c>
      <c r="N56" s="2">
        <v>6</v>
      </c>
    </row>
    <row r="57" spans="1:14" x14ac:dyDescent="0.3">
      <c r="A57" s="2">
        <v>1990</v>
      </c>
      <c r="B57" s="2" t="s">
        <v>30</v>
      </c>
      <c r="C57" s="2">
        <v>20</v>
      </c>
      <c r="D57" s="2">
        <v>10</v>
      </c>
      <c r="E57" s="2">
        <v>10</v>
      </c>
      <c r="F57" s="2">
        <v>24</v>
      </c>
      <c r="G57" s="2">
        <v>15</v>
      </c>
      <c r="H57" s="2">
        <v>9</v>
      </c>
      <c r="I57" s="7">
        <f t="shared" si="0"/>
        <v>0.5</v>
      </c>
      <c r="J57" s="5">
        <f t="shared" si="1"/>
        <v>1.2</v>
      </c>
      <c r="K57" s="5">
        <f t="shared" si="2"/>
        <v>0.75</v>
      </c>
      <c r="L57" s="10">
        <f t="shared" si="3"/>
        <v>0.45</v>
      </c>
      <c r="M57" s="2">
        <v>1</v>
      </c>
      <c r="N57" s="2">
        <v>33</v>
      </c>
    </row>
    <row r="58" spans="1:14" x14ac:dyDescent="0.3">
      <c r="A58" s="2">
        <v>1994</v>
      </c>
      <c r="B58" s="2" t="s">
        <v>8</v>
      </c>
      <c r="C58" s="2">
        <v>20</v>
      </c>
      <c r="D58" s="2">
        <v>13</v>
      </c>
      <c r="E58" s="2">
        <v>7</v>
      </c>
      <c r="F58" s="2">
        <v>34</v>
      </c>
      <c r="G58" s="2">
        <v>12</v>
      </c>
      <c r="H58" s="2">
        <v>22</v>
      </c>
      <c r="I58" s="7">
        <f t="shared" si="0"/>
        <v>0.65</v>
      </c>
      <c r="J58" s="5">
        <f t="shared" si="1"/>
        <v>1.7</v>
      </c>
      <c r="K58" s="5">
        <f t="shared" si="2"/>
        <v>0.6</v>
      </c>
      <c r="L58" s="10">
        <f t="shared" si="3"/>
        <v>1.1000000000000001</v>
      </c>
      <c r="M58" s="2">
        <v>4</v>
      </c>
      <c r="N58" s="2">
        <v>4</v>
      </c>
    </row>
    <row r="59" spans="1:14" x14ac:dyDescent="0.3">
      <c r="A59" s="2">
        <v>1994</v>
      </c>
      <c r="B59" s="2" t="s">
        <v>9</v>
      </c>
      <c r="C59" s="2">
        <v>20</v>
      </c>
      <c r="D59" s="2">
        <v>12</v>
      </c>
      <c r="E59" s="2">
        <v>8</v>
      </c>
      <c r="F59" s="2">
        <v>43</v>
      </c>
      <c r="G59" s="2">
        <v>12</v>
      </c>
      <c r="H59" s="2">
        <v>31</v>
      </c>
      <c r="I59" s="7">
        <f t="shared" si="0"/>
        <v>0.6</v>
      </c>
      <c r="J59" s="5">
        <f t="shared" si="1"/>
        <v>2.15</v>
      </c>
      <c r="K59" s="5">
        <f t="shared" si="2"/>
        <v>0.6</v>
      </c>
      <c r="L59" s="10">
        <f t="shared" si="3"/>
        <v>1.55</v>
      </c>
      <c r="M59" s="2">
        <v>1</v>
      </c>
      <c r="N59" s="2">
        <v>5</v>
      </c>
    </row>
    <row r="60" spans="1:14" x14ac:dyDescent="0.3">
      <c r="A60" s="2">
        <v>1994</v>
      </c>
      <c r="B60" s="2" t="s">
        <v>7</v>
      </c>
      <c r="C60" s="2">
        <v>20</v>
      </c>
      <c r="D60" s="2">
        <v>12</v>
      </c>
      <c r="E60" s="2">
        <v>8</v>
      </c>
      <c r="F60" s="2">
        <v>40</v>
      </c>
      <c r="G60" s="2">
        <v>11</v>
      </c>
      <c r="H60" s="2">
        <v>29</v>
      </c>
      <c r="I60" s="7">
        <f t="shared" si="0"/>
        <v>0.6</v>
      </c>
      <c r="J60" s="5">
        <f t="shared" si="1"/>
        <v>2</v>
      </c>
      <c r="K60" s="5">
        <f t="shared" si="2"/>
        <v>0.55000000000000004</v>
      </c>
      <c r="L60" s="10">
        <f t="shared" si="3"/>
        <v>1.45</v>
      </c>
      <c r="M60" s="2">
        <v>3</v>
      </c>
      <c r="N60" s="2">
        <v>3</v>
      </c>
    </row>
    <row r="61" spans="1:14" x14ac:dyDescent="0.3">
      <c r="A61" s="2">
        <v>1994</v>
      </c>
      <c r="B61" s="2" t="s">
        <v>27</v>
      </c>
      <c r="C61" s="2">
        <v>20</v>
      </c>
      <c r="D61" s="2">
        <v>13</v>
      </c>
      <c r="E61" s="2">
        <v>7</v>
      </c>
      <c r="F61" s="2">
        <v>55</v>
      </c>
      <c r="G61" s="2">
        <v>16</v>
      </c>
      <c r="H61" s="2">
        <v>39</v>
      </c>
      <c r="I61" s="7">
        <f t="shared" si="0"/>
        <v>0.65</v>
      </c>
      <c r="J61" s="5">
        <f t="shared" si="1"/>
        <v>2.75</v>
      </c>
      <c r="K61" s="5">
        <f t="shared" si="2"/>
        <v>0.8</v>
      </c>
      <c r="L61" s="10">
        <f t="shared" si="3"/>
        <v>1.95</v>
      </c>
      <c r="M61" s="2">
        <v>3</v>
      </c>
      <c r="N61" s="2">
        <v>2</v>
      </c>
    </row>
    <row r="62" spans="1:14" x14ac:dyDescent="0.3">
      <c r="A62" s="2">
        <v>1994</v>
      </c>
      <c r="B62" s="2" t="s">
        <v>31</v>
      </c>
      <c r="C62" s="2">
        <v>20</v>
      </c>
      <c r="D62" s="2">
        <v>8</v>
      </c>
      <c r="E62" s="2">
        <v>12</v>
      </c>
      <c r="F62" s="2">
        <v>29</v>
      </c>
      <c r="G62" s="2">
        <v>26</v>
      </c>
      <c r="H62" s="2">
        <v>3</v>
      </c>
      <c r="I62" s="7">
        <f t="shared" si="0"/>
        <v>0.4</v>
      </c>
      <c r="J62" s="5">
        <f t="shared" si="1"/>
        <v>1.45</v>
      </c>
      <c r="K62" s="5">
        <f t="shared" si="2"/>
        <v>1.3</v>
      </c>
      <c r="L62" s="10">
        <f t="shared" si="3"/>
        <v>0.15</v>
      </c>
      <c r="M62" s="2">
        <v>1</v>
      </c>
      <c r="N62" s="2">
        <v>29</v>
      </c>
    </row>
    <row r="63" spans="1:14" x14ac:dyDescent="0.3">
      <c r="A63" s="2">
        <v>1994</v>
      </c>
      <c r="B63" s="2" t="s">
        <v>12</v>
      </c>
      <c r="C63" s="2">
        <v>20</v>
      </c>
      <c r="D63" s="2">
        <v>12</v>
      </c>
      <c r="E63" s="2">
        <v>8</v>
      </c>
      <c r="F63" s="2">
        <v>36</v>
      </c>
      <c r="G63" s="2">
        <v>19</v>
      </c>
      <c r="H63" s="2">
        <v>17</v>
      </c>
      <c r="I63" s="7">
        <f t="shared" si="0"/>
        <v>0.6</v>
      </c>
      <c r="J63" s="5">
        <f t="shared" si="1"/>
        <v>1.8</v>
      </c>
      <c r="K63" s="5">
        <f t="shared" si="2"/>
        <v>0.95</v>
      </c>
      <c r="L63" s="10">
        <f t="shared" si="3"/>
        <v>0.85</v>
      </c>
      <c r="M63" s="2">
        <v>2</v>
      </c>
      <c r="N63" s="2">
        <v>1</v>
      </c>
    </row>
    <row r="64" spans="1:14" x14ac:dyDescent="0.3">
      <c r="A64" s="2">
        <v>1994</v>
      </c>
      <c r="B64" s="2" t="s">
        <v>5</v>
      </c>
      <c r="C64" s="2">
        <v>20</v>
      </c>
      <c r="D64" s="2">
        <v>12</v>
      </c>
      <c r="E64" s="2">
        <v>8</v>
      </c>
      <c r="F64" s="2">
        <v>39</v>
      </c>
      <c r="G64" s="2">
        <v>23</v>
      </c>
      <c r="H64" s="2">
        <v>16</v>
      </c>
      <c r="I64" s="7">
        <f t="shared" si="0"/>
        <v>0.6</v>
      </c>
      <c r="J64" s="5">
        <f t="shared" si="1"/>
        <v>1.95</v>
      </c>
      <c r="K64" s="5">
        <f t="shared" si="2"/>
        <v>1.1499999999999999</v>
      </c>
      <c r="L64" s="10">
        <f t="shared" si="3"/>
        <v>0.8</v>
      </c>
      <c r="M64" s="2">
        <v>1</v>
      </c>
      <c r="N64" s="2">
        <v>7</v>
      </c>
    </row>
    <row r="65" spans="1:14" x14ac:dyDescent="0.3">
      <c r="A65" s="2">
        <v>1994</v>
      </c>
      <c r="B65" s="2" t="s">
        <v>13</v>
      </c>
      <c r="C65" s="2">
        <v>20</v>
      </c>
      <c r="D65" s="2">
        <v>10</v>
      </c>
      <c r="E65" s="2">
        <v>10</v>
      </c>
      <c r="F65" s="2">
        <v>34</v>
      </c>
      <c r="G65" s="2">
        <v>19</v>
      </c>
      <c r="H65" s="2">
        <v>15</v>
      </c>
      <c r="I65" s="7">
        <f t="shared" si="0"/>
        <v>0.5</v>
      </c>
      <c r="J65" s="5">
        <f t="shared" si="1"/>
        <v>1.7</v>
      </c>
      <c r="K65" s="5">
        <f t="shared" si="2"/>
        <v>0.95</v>
      </c>
      <c r="L65" s="10">
        <f t="shared" si="3"/>
        <v>0.75</v>
      </c>
      <c r="M65" s="2">
        <v>1</v>
      </c>
      <c r="N65" s="2">
        <v>10</v>
      </c>
    </row>
    <row r="66" spans="1:14" x14ac:dyDescent="0.3">
      <c r="A66" s="2">
        <v>1998</v>
      </c>
      <c r="B66" s="2" t="s">
        <v>16</v>
      </c>
      <c r="C66" s="2">
        <v>20</v>
      </c>
      <c r="D66" s="2">
        <v>10</v>
      </c>
      <c r="E66" s="2">
        <v>10</v>
      </c>
      <c r="F66" s="2">
        <v>28</v>
      </c>
      <c r="G66" s="2">
        <v>17</v>
      </c>
      <c r="H66" s="2">
        <v>11</v>
      </c>
      <c r="I66" s="7">
        <f t="shared" si="0"/>
        <v>0.5</v>
      </c>
      <c r="J66" s="5">
        <f t="shared" si="1"/>
        <v>1.4</v>
      </c>
      <c r="K66" s="5">
        <f t="shared" si="2"/>
        <v>0.85</v>
      </c>
      <c r="L66" s="10">
        <f t="shared" si="3"/>
        <v>0.55000000000000004</v>
      </c>
      <c r="M66" s="2">
        <v>3</v>
      </c>
      <c r="N66" s="2">
        <v>18</v>
      </c>
    </row>
    <row r="67" spans="1:14" x14ac:dyDescent="0.3">
      <c r="A67" s="2">
        <v>1998</v>
      </c>
      <c r="B67" s="2" t="s">
        <v>8</v>
      </c>
      <c r="C67" s="2">
        <v>20</v>
      </c>
      <c r="D67" s="2">
        <v>11</v>
      </c>
      <c r="E67" s="2">
        <v>9</v>
      </c>
      <c r="F67" s="2">
        <v>31</v>
      </c>
      <c r="G67" s="2">
        <v>11</v>
      </c>
      <c r="H67" s="2">
        <v>20</v>
      </c>
      <c r="I67" s="7">
        <f t="shared" ref="I67:I121" si="4">D67/C67</f>
        <v>0.55000000000000004</v>
      </c>
      <c r="J67" s="5">
        <f t="shared" ref="J67:J121" si="5">F67/C67</f>
        <v>1.55</v>
      </c>
      <c r="K67" s="5">
        <f t="shared" ref="K67:K121" si="6">G67/C67</f>
        <v>0.55000000000000004</v>
      </c>
      <c r="L67" s="10">
        <f t="shared" ref="L67:L123" si="7">H67/C67</f>
        <v>1</v>
      </c>
      <c r="M67" s="2">
        <v>3</v>
      </c>
      <c r="N67" s="2">
        <v>14</v>
      </c>
    </row>
    <row r="68" spans="1:14" x14ac:dyDescent="0.3">
      <c r="A68" s="2">
        <v>1998</v>
      </c>
      <c r="B68" s="2" t="s">
        <v>7</v>
      </c>
      <c r="C68" s="2">
        <v>20</v>
      </c>
      <c r="D68" s="2">
        <v>14</v>
      </c>
      <c r="E68" s="2">
        <v>6</v>
      </c>
      <c r="F68" s="2">
        <v>51</v>
      </c>
      <c r="G68" s="2">
        <v>14</v>
      </c>
      <c r="H68" s="2">
        <v>37</v>
      </c>
      <c r="I68" s="7">
        <f t="shared" si="4"/>
        <v>0.7</v>
      </c>
      <c r="J68" s="5">
        <f t="shared" si="5"/>
        <v>2.5499999999999998</v>
      </c>
      <c r="K68" s="5">
        <f t="shared" si="6"/>
        <v>0.7</v>
      </c>
      <c r="L68" s="10">
        <f t="shared" si="7"/>
        <v>1.85</v>
      </c>
      <c r="M68" s="2">
        <v>4</v>
      </c>
      <c r="N68" s="2">
        <v>1</v>
      </c>
    </row>
    <row r="69" spans="1:14" x14ac:dyDescent="0.3">
      <c r="A69" s="2">
        <v>1998</v>
      </c>
      <c r="B69" s="2" t="s">
        <v>32</v>
      </c>
      <c r="C69" s="2">
        <v>20</v>
      </c>
      <c r="D69" s="2">
        <v>10</v>
      </c>
      <c r="E69" s="2">
        <v>10</v>
      </c>
      <c r="F69" s="2">
        <v>28</v>
      </c>
      <c r="G69" s="2">
        <v>19</v>
      </c>
      <c r="H69" s="2">
        <v>9</v>
      </c>
      <c r="I69" s="7">
        <f t="shared" si="4"/>
        <v>0.5</v>
      </c>
      <c r="J69" s="5">
        <f t="shared" si="5"/>
        <v>1.4</v>
      </c>
      <c r="K69" s="5">
        <f t="shared" si="6"/>
        <v>0.95</v>
      </c>
      <c r="L69" s="10">
        <f t="shared" si="7"/>
        <v>0.45</v>
      </c>
      <c r="M69" s="2">
        <v>2</v>
      </c>
      <c r="N69" s="2">
        <v>27</v>
      </c>
    </row>
    <row r="70" spans="1:14" x14ac:dyDescent="0.3">
      <c r="A70" s="2">
        <v>1998</v>
      </c>
      <c r="B70" s="2" t="s">
        <v>27</v>
      </c>
      <c r="C70" s="2">
        <v>20</v>
      </c>
      <c r="D70" s="2">
        <v>12</v>
      </c>
      <c r="E70" s="2">
        <v>8</v>
      </c>
      <c r="F70" s="2">
        <v>53</v>
      </c>
      <c r="G70" s="2">
        <v>19</v>
      </c>
      <c r="H70" s="2">
        <v>34</v>
      </c>
      <c r="I70" s="7">
        <f t="shared" si="4"/>
        <v>0.6</v>
      </c>
      <c r="J70" s="5">
        <f t="shared" si="5"/>
        <v>2.65</v>
      </c>
      <c r="K70" s="5">
        <f t="shared" si="6"/>
        <v>0.95</v>
      </c>
      <c r="L70" s="10">
        <f t="shared" si="7"/>
        <v>1.7</v>
      </c>
      <c r="M70" s="2">
        <v>4</v>
      </c>
      <c r="N70" s="2">
        <v>25</v>
      </c>
    </row>
    <row r="71" spans="1:14" x14ac:dyDescent="0.3">
      <c r="A71" s="2">
        <v>1998</v>
      </c>
      <c r="B71" s="2" t="s">
        <v>0</v>
      </c>
      <c r="C71" s="2">
        <v>20</v>
      </c>
      <c r="D71" s="2">
        <v>11</v>
      </c>
      <c r="E71" s="2">
        <v>9</v>
      </c>
      <c r="F71" s="2">
        <v>34</v>
      </c>
      <c r="G71" s="2">
        <v>18</v>
      </c>
      <c r="H71" s="2">
        <v>16</v>
      </c>
      <c r="I71" s="7">
        <f t="shared" si="4"/>
        <v>0.55000000000000004</v>
      </c>
      <c r="J71" s="5">
        <f t="shared" si="5"/>
        <v>1.7</v>
      </c>
      <c r="K71" s="5">
        <f t="shared" si="6"/>
        <v>0.9</v>
      </c>
      <c r="L71" s="10">
        <f t="shared" si="7"/>
        <v>0.8</v>
      </c>
      <c r="M71" s="2">
        <v>2</v>
      </c>
      <c r="N71" s="2">
        <v>6</v>
      </c>
    </row>
    <row r="72" spans="1:14" x14ac:dyDescent="0.3">
      <c r="A72" s="2">
        <v>1998</v>
      </c>
      <c r="B72" s="2" t="s">
        <v>33</v>
      </c>
      <c r="C72" s="2">
        <v>20</v>
      </c>
      <c r="D72" s="2">
        <v>10</v>
      </c>
      <c r="E72" s="2">
        <v>10</v>
      </c>
      <c r="F72" s="2">
        <v>34</v>
      </c>
      <c r="G72" s="2">
        <v>22</v>
      </c>
      <c r="H72" s="2">
        <v>12</v>
      </c>
      <c r="I72" s="7">
        <f t="shared" si="4"/>
        <v>0.5</v>
      </c>
      <c r="J72" s="5">
        <f t="shared" si="5"/>
        <v>1.7</v>
      </c>
      <c r="K72" s="5">
        <f t="shared" si="6"/>
        <v>1.1000000000000001</v>
      </c>
      <c r="L72" s="10">
        <f t="shared" si="7"/>
        <v>0.6</v>
      </c>
      <c r="M72" s="2">
        <v>1</v>
      </c>
      <c r="N72" s="2">
        <v>19</v>
      </c>
    </row>
    <row r="73" spans="1:14" x14ac:dyDescent="0.3">
      <c r="A73" s="2">
        <v>1998</v>
      </c>
      <c r="B73" s="2" t="s">
        <v>12</v>
      </c>
      <c r="C73" s="2">
        <v>20</v>
      </c>
      <c r="D73" s="2">
        <v>14</v>
      </c>
      <c r="E73" s="2">
        <v>6</v>
      </c>
      <c r="F73" s="2">
        <v>47</v>
      </c>
      <c r="G73" s="2">
        <v>15</v>
      </c>
      <c r="H73" s="2">
        <v>32</v>
      </c>
      <c r="I73" s="7">
        <f t="shared" si="4"/>
        <v>0.7</v>
      </c>
      <c r="J73" s="5">
        <f t="shared" si="5"/>
        <v>2.35</v>
      </c>
      <c r="K73" s="5">
        <f t="shared" si="6"/>
        <v>0.75</v>
      </c>
      <c r="L73" s="10">
        <f t="shared" si="7"/>
        <v>1.6</v>
      </c>
      <c r="M73" s="2">
        <v>2</v>
      </c>
      <c r="N73" s="2">
        <v>2</v>
      </c>
    </row>
    <row r="74" spans="1:14" x14ac:dyDescent="0.3">
      <c r="A74" s="2">
        <v>2002</v>
      </c>
      <c r="B74" s="2" t="s">
        <v>12</v>
      </c>
      <c r="C74" s="2">
        <v>20</v>
      </c>
      <c r="D74" s="2">
        <v>11</v>
      </c>
      <c r="E74" s="2">
        <v>9</v>
      </c>
      <c r="F74" s="2">
        <v>41</v>
      </c>
      <c r="G74" s="2">
        <v>24</v>
      </c>
      <c r="H74" s="2">
        <v>17</v>
      </c>
      <c r="I74" s="7">
        <f t="shared" si="4"/>
        <v>0.55000000000000004</v>
      </c>
      <c r="J74" s="5">
        <f t="shared" si="5"/>
        <v>2.0499999999999998</v>
      </c>
      <c r="K74" s="5">
        <f t="shared" si="6"/>
        <v>1.2</v>
      </c>
      <c r="L74" s="10">
        <f t="shared" si="7"/>
        <v>0.85</v>
      </c>
      <c r="M74" s="2">
        <v>3</v>
      </c>
      <c r="N74" s="2">
        <v>11</v>
      </c>
    </row>
    <row r="75" spans="1:14" x14ac:dyDescent="0.3">
      <c r="A75" s="2">
        <v>2002</v>
      </c>
      <c r="B75" s="2" t="s">
        <v>17</v>
      </c>
      <c r="C75" s="2">
        <v>20</v>
      </c>
      <c r="D75" s="2">
        <v>11</v>
      </c>
      <c r="E75" s="2">
        <v>9</v>
      </c>
      <c r="F75" s="2">
        <v>31</v>
      </c>
      <c r="G75" s="2">
        <v>16</v>
      </c>
      <c r="H75" s="2">
        <v>15</v>
      </c>
      <c r="I75" s="7">
        <f t="shared" si="4"/>
        <v>0.55000000000000004</v>
      </c>
      <c r="J75" s="5">
        <f t="shared" si="5"/>
        <v>1.55</v>
      </c>
      <c r="K75" s="5">
        <f t="shared" si="6"/>
        <v>0.8</v>
      </c>
      <c r="L75" s="10">
        <f t="shared" si="7"/>
        <v>0.75</v>
      </c>
      <c r="M75" s="2">
        <v>1</v>
      </c>
      <c r="N75" s="2">
        <v>13</v>
      </c>
    </row>
    <row r="76" spans="1:14" x14ac:dyDescent="0.3">
      <c r="A76" s="2">
        <v>2002</v>
      </c>
      <c r="B76" s="2" t="s">
        <v>34</v>
      </c>
      <c r="C76" s="2">
        <v>20</v>
      </c>
      <c r="D76" s="2">
        <v>9</v>
      </c>
      <c r="E76" s="2">
        <v>11</v>
      </c>
      <c r="F76" s="2">
        <v>27</v>
      </c>
      <c r="G76" s="2">
        <v>18</v>
      </c>
      <c r="H76" s="2">
        <v>9</v>
      </c>
      <c r="I76" s="7">
        <f t="shared" si="4"/>
        <v>0.45</v>
      </c>
      <c r="J76" s="5">
        <f t="shared" si="5"/>
        <v>1.35</v>
      </c>
      <c r="K76" s="5">
        <f t="shared" si="6"/>
        <v>0.9</v>
      </c>
      <c r="L76" s="10">
        <f t="shared" si="7"/>
        <v>0.45</v>
      </c>
      <c r="M76" s="2">
        <v>1</v>
      </c>
      <c r="N76" s="2">
        <v>40</v>
      </c>
    </row>
    <row r="77" spans="1:14" x14ac:dyDescent="0.3">
      <c r="A77" s="2">
        <v>2002</v>
      </c>
      <c r="B77" s="2" t="s">
        <v>9</v>
      </c>
      <c r="C77" s="2">
        <v>20</v>
      </c>
      <c r="D77" s="2">
        <v>14</v>
      </c>
      <c r="E77" s="2">
        <v>6</v>
      </c>
      <c r="F77" s="2">
        <v>44</v>
      </c>
      <c r="G77" s="2">
        <v>12</v>
      </c>
      <c r="H77" s="2">
        <v>32</v>
      </c>
      <c r="I77" s="7">
        <f t="shared" si="4"/>
        <v>0.7</v>
      </c>
      <c r="J77" s="5">
        <f t="shared" si="5"/>
        <v>2.2000000000000002</v>
      </c>
      <c r="K77" s="5">
        <f t="shared" si="6"/>
        <v>0.6</v>
      </c>
      <c r="L77" s="10">
        <f t="shared" si="7"/>
        <v>1.6</v>
      </c>
      <c r="M77" s="2">
        <v>3</v>
      </c>
      <c r="N77" s="2">
        <v>8</v>
      </c>
    </row>
    <row r="78" spans="1:14" x14ac:dyDescent="0.3">
      <c r="A78" s="2">
        <v>2002</v>
      </c>
      <c r="B78" s="2" t="s">
        <v>7</v>
      </c>
      <c r="C78" s="2">
        <v>20</v>
      </c>
      <c r="D78" s="2">
        <v>12</v>
      </c>
      <c r="E78" s="2">
        <v>8</v>
      </c>
      <c r="F78" s="2">
        <v>37</v>
      </c>
      <c r="G78" s="2">
        <v>15</v>
      </c>
      <c r="H78" s="2">
        <v>22</v>
      </c>
      <c r="I78" s="7">
        <f t="shared" si="4"/>
        <v>0.6</v>
      </c>
      <c r="J78" s="5">
        <f t="shared" si="5"/>
        <v>1.85</v>
      </c>
      <c r="K78" s="5">
        <f t="shared" si="6"/>
        <v>0.75</v>
      </c>
      <c r="L78" s="10">
        <f t="shared" si="7"/>
        <v>1.1000000000000001</v>
      </c>
      <c r="M78" s="2">
        <v>5</v>
      </c>
      <c r="N78" s="2">
        <v>2</v>
      </c>
    </row>
    <row r="79" spans="1:14" x14ac:dyDescent="0.3">
      <c r="A79" s="2">
        <v>2002</v>
      </c>
      <c r="B79" s="2" t="s">
        <v>19</v>
      </c>
      <c r="C79" s="2">
        <v>20</v>
      </c>
      <c r="D79" s="2">
        <v>11</v>
      </c>
      <c r="E79" s="2">
        <v>9</v>
      </c>
      <c r="F79" s="2">
        <v>40</v>
      </c>
      <c r="G79" s="2">
        <v>16</v>
      </c>
      <c r="H79" s="2">
        <v>24</v>
      </c>
      <c r="I79" s="7">
        <f t="shared" si="4"/>
        <v>0.55000000000000004</v>
      </c>
      <c r="J79" s="5">
        <f t="shared" si="5"/>
        <v>2</v>
      </c>
      <c r="K79" s="5">
        <f t="shared" si="6"/>
        <v>0.8</v>
      </c>
      <c r="L79" s="10">
        <f t="shared" si="7"/>
        <v>1.2</v>
      </c>
      <c r="M79" s="2">
        <v>3</v>
      </c>
      <c r="N79" s="2">
        <v>12</v>
      </c>
    </row>
    <row r="80" spans="1:14" x14ac:dyDescent="0.3">
      <c r="A80" s="2">
        <v>2002</v>
      </c>
      <c r="B80" s="2" t="s">
        <v>35</v>
      </c>
      <c r="C80" s="2">
        <v>20</v>
      </c>
      <c r="D80" s="2">
        <v>11</v>
      </c>
      <c r="E80" s="2">
        <v>9</v>
      </c>
      <c r="F80" s="2">
        <v>29</v>
      </c>
      <c r="G80" s="2">
        <v>12</v>
      </c>
      <c r="H80" s="2">
        <v>17</v>
      </c>
      <c r="I80" s="7">
        <f t="shared" si="4"/>
        <v>0.55000000000000004</v>
      </c>
      <c r="J80" s="5">
        <f t="shared" si="5"/>
        <v>1.45</v>
      </c>
      <c r="K80" s="5">
        <f t="shared" si="6"/>
        <v>0.6</v>
      </c>
      <c r="L80" s="10">
        <f t="shared" si="7"/>
        <v>0.85</v>
      </c>
      <c r="M80" s="2">
        <v>1</v>
      </c>
      <c r="N80" s="2">
        <v>42</v>
      </c>
    </row>
    <row r="81" spans="1:14" x14ac:dyDescent="0.3">
      <c r="A81" s="2">
        <v>2002</v>
      </c>
      <c r="B81" s="2" t="s">
        <v>36</v>
      </c>
      <c r="C81" s="2">
        <v>20</v>
      </c>
      <c r="D81" s="2">
        <v>11</v>
      </c>
      <c r="E81" s="2">
        <v>9</v>
      </c>
      <c r="F81" s="2">
        <v>37</v>
      </c>
      <c r="G81" s="2">
        <v>19</v>
      </c>
      <c r="H81" s="2">
        <v>18</v>
      </c>
      <c r="I81" s="7">
        <f t="shared" si="4"/>
        <v>0.55000000000000004</v>
      </c>
      <c r="J81" s="5">
        <f t="shared" si="5"/>
        <v>1.85</v>
      </c>
      <c r="K81" s="5">
        <f t="shared" si="6"/>
        <v>0.95</v>
      </c>
      <c r="L81" s="10">
        <f t="shared" si="7"/>
        <v>0.9</v>
      </c>
      <c r="M81" s="2">
        <v>1</v>
      </c>
      <c r="N81" s="2">
        <v>22</v>
      </c>
    </row>
    <row r="82" spans="1:14" x14ac:dyDescent="0.3">
      <c r="A82" s="2">
        <v>2006</v>
      </c>
      <c r="B82" s="2" t="s">
        <v>12</v>
      </c>
      <c r="C82" s="2">
        <v>20</v>
      </c>
      <c r="D82" s="2">
        <v>11</v>
      </c>
      <c r="E82" s="2">
        <v>9</v>
      </c>
      <c r="F82" s="2">
        <v>49</v>
      </c>
      <c r="G82" s="2">
        <v>27</v>
      </c>
      <c r="H82" s="2">
        <v>22</v>
      </c>
      <c r="I82" s="7">
        <f t="shared" si="4"/>
        <v>0.55000000000000004</v>
      </c>
      <c r="J82" s="5">
        <f t="shared" si="5"/>
        <v>2.4500000000000002</v>
      </c>
      <c r="K82" s="5">
        <f t="shared" si="6"/>
        <v>1.35</v>
      </c>
      <c r="L82" s="10">
        <f t="shared" si="7"/>
        <v>1.1000000000000001</v>
      </c>
      <c r="M82" s="2">
        <v>2</v>
      </c>
      <c r="N82" s="2">
        <v>19</v>
      </c>
    </row>
    <row r="83" spans="1:14" x14ac:dyDescent="0.3">
      <c r="A83" s="2">
        <v>2006</v>
      </c>
      <c r="B83" s="2" t="s">
        <v>0</v>
      </c>
      <c r="C83" s="2">
        <v>20</v>
      </c>
      <c r="D83" s="2">
        <v>11</v>
      </c>
      <c r="E83" s="2">
        <v>9</v>
      </c>
      <c r="F83" s="2">
        <v>36</v>
      </c>
      <c r="G83" s="2">
        <v>21</v>
      </c>
      <c r="H83" s="2">
        <v>15</v>
      </c>
      <c r="I83" s="7">
        <f t="shared" si="4"/>
        <v>0.55000000000000004</v>
      </c>
      <c r="J83" s="5">
        <f t="shared" si="5"/>
        <v>1.8</v>
      </c>
      <c r="K83" s="5">
        <f t="shared" si="6"/>
        <v>1.05</v>
      </c>
      <c r="L83" s="10">
        <f t="shared" si="7"/>
        <v>0.75</v>
      </c>
      <c r="M83" s="2">
        <v>4</v>
      </c>
      <c r="N83" s="2">
        <v>9</v>
      </c>
    </row>
    <row r="84" spans="1:14" x14ac:dyDescent="0.3">
      <c r="A84" s="2">
        <v>2006</v>
      </c>
      <c r="B84" s="2" t="s">
        <v>8</v>
      </c>
      <c r="C84" s="2">
        <v>20</v>
      </c>
      <c r="D84" s="2">
        <v>11</v>
      </c>
      <c r="E84" s="2">
        <v>9</v>
      </c>
      <c r="F84" s="2">
        <v>34</v>
      </c>
      <c r="G84" s="2">
        <v>16</v>
      </c>
      <c r="H84" s="2">
        <v>18</v>
      </c>
      <c r="I84" s="7">
        <f t="shared" si="4"/>
        <v>0.55000000000000004</v>
      </c>
      <c r="J84" s="5">
        <f t="shared" si="5"/>
        <v>1.7</v>
      </c>
      <c r="K84" s="5">
        <f t="shared" si="6"/>
        <v>0.8</v>
      </c>
      <c r="L84" s="10">
        <f t="shared" si="7"/>
        <v>0.9</v>
      </c>
      <c r="M84" s="2">
        <v>6</v>
      </c>
      <c r="N84" s="2">
        <v>13</v>
      </c>
    </row>
    <row r="85" spans="1:14" x14ac:dyDescent="0.3">
      <c r="A85" s="2">
        <v>2006</v>
      </c>
      <c r="B85" s="2" t="s">
        <v>37</v>
      </c>
      <c r="C85" s="2">
        <v>20</v>
      </c>
      <c r="D85" s="2">
        <v>11</v>
      </c>
      <c r="E85" s="2">
        <v>9</v>
      </c>
      <c r="F85" s="2">
        <v>29</v>
      </c>
      <c r="G85" s="2">
        <v>14</v>
      </c>
      <c r="H85" s="2">
        <v>15</v>
      </c>
      <c r="I85" s="7">
        <f t="shared" si="4"/>
        <v>0.55000000000000004</v>
      </c>
      <c r="J85" s="5">
        <f t="shared" si="5"/>
        <v>1.45</v>
      </c>
      <c r="K85" s="5">
        <f t="shared" si="6"/>
        <v>0.7</v>
      </c>
      <c r="L85" s="10">
        <f t="shared" si="7"/>
        <v>0.75</v>
      </c>
      <c r="M85" s="2">
        <v>1</v>
      </c>
      <c r="N85" s="2">
        <v>45</v>
      </c>
    </row>
    <row r="86" spans="1:14" x14ac:dyDescent="0.3">
      <c r="A86" s="2">
        <v>2006</v>
      </c>
      <c r="B86" s="2" t="s">
        <v>19</v>
      </c>
      <c r="C86" s="2">
        <v>20</v>
      </c>
      <c r="D86" s="2">
        <v>13</v>
      </c>
      <c r="E86" s="2">
        <v>7</v>
      </c>
      <c r="F86" s="2">
        <v>39</v>
      </c>
      <c r="G86" s="2">
        <v>19</v>
      </c>
      <c r="H86" s="2">
        <v>20</v>
      </c>
      <c r="I86" s="7">
        <f t="shared" si="4"/>
        <v>0.65</v>
      </c>
      <c r="J86" s="5">
        <f t="shared" si="5"/>
        <v>1.95</v>
      </c>
      <c r="K86" s="5">
        <f t="shared" si="6"/>
        <v>0.95</v>
      </c>
      <c r="L86" s="10">
        <f t="shared" si="7"/>
        <v>1</v>
      </c>
      <c r="M86" s="2">
        <v>5</v>
      </c>
      <c r="N86" s="2">
        <v>10</v>
      </c>
    </row>
    <row r="87" spans="1:14" x14ac:dyDescent="0.3">
      <c r="A87" s="2">
        <v>2006</v>
      </c>
      <c r="B87" s="2" t="s">
        <v>23</v>
      </c>
      <c r="C87" s="2">
        <v>20</v>
      </c>
      <c r="D87" s="2">
        <v>14</v>
      </c>
      <c r="E87" s="2">
        <v>6</v>
      </c>
      <c r="F87" s="2">
        <v>47</v>
      </c>
      <c r="G87" s="2">
        <v>10</v>
      </c>
      <c r="H87" s="2">
        <v>37</v>
      </c>
      <c r="I87" s="7">
        <f t="shared" si="4"/>
        <v>0.7</v>
      </c>
      <c r="J87" s="5">
        <f t="shared" si="5"/>
        <v>2.35</v>
      </c>
      <c r="K87" s="5">
        <f t="shared" si="6"/>
        <v>0.5</v>
      </c>
      <c r="L87" s="10">
        <f t="shared" si="7"/>
        <v>1.85</v>
      </c>
      <c r="M87" s="2">
        <v>3</v>
      </c>
      <c r="N87" s="2">
        <v>7</v>
      </c>
    </row>
    <row r="88" spans="1:14" x14ac:dyDescent="0.3">
      <c r="A88" s="2">
        <v>2006</v>
      </c>
      <c r="B88" s="2" t="s">
        <v>7</v>
      </c>
      <c r="C88" s="2">
        <v>20</v>
      </c>
      <c r="D88" s="2">
        <v>14</v>
      </c>
      <c r="E88" s="2">
        <v>6</v>
      </c>
      <c r="F88" s="2">
        <v>48</v>
      </c>
      <c r="G88" s="2">
        <v>15</v>
      </c>
      <c r="H88" s="2">
        <v>33</v>
      </c>
      <c r="I88" s="7">
        <f t="shared" si="4"/>
        <v>0.7</v>
      </c>
      <c r="J88" s="5">
        <f t="shared" si="5"/>
        <v>2.4</v>
      </c>
      <c r="K88" s="5">
        <f t="shared" si="6"/>
        <v>0.75</v>
      </c>
      <c r="L88" s="10">
        <f t="shared" si="7"/>
        <v>1.65</v>
      </c>
      <c r="M88" s="2">
        <v>6</v>
      </c>
      <c r="N88" s="2">
        <v>1</v>
      </c>
    </row>
    <row r="89" spans="1:14" x14ac:dyDescent="0.3">
      <c r="A89" s="2">
        <v>2006</v>
      </c>
      <c r="B89" s="2" t="s">
        <v>16</v>
      </c>
      <c r="C89" s="2">
        <v>20</v>
      </c>
      <c r="D89" s="2">
        <v>11</v>
      </c>
      <c r="E89" s="2">
        <v>9</v>
      </c>
      <c r="F89" s="2">
        <v>31</v>
      </c>
      <c r="G89" s="2">
        <v>9</v>
      </c>
      <c r="H89" s="2">
        <v>22</v>
      </c>
      <c r="I89" s="7">
        <f t="shared" si="4"/>
        <v>0.55000000000000004</v>
      </c>
      <c r="J89" s="5">
        <f t="shared" si="5"/>
        <v>1.55</v>
      </c>
      <c r="K89" s="5">
        <f t="shared" si="6"/>
        <v>0.45</v>
      </c>
      <c r="L89" s="10">
        <f t="shared" si="7"/>
        <v>1.1000000000000001</v>
      </c>
      <c r="M89" s="2">
        <v>5</v>
      </c>
      <c r="N89" s="2">
        <v>8</v>
      </c>
    </row>
    <row r="90" spans="1:14" x14ac:dyDescent="0.3">
      <c r="A90" s="2">
        <v>2010</v>
      </c>
      <c r="B90" s="2" t="s">
        <v>1</v>
      </c>
      <c r="C90" s="2">
        <v>20</v>
      </c>
      <c r="D90" s="2">
        <v>9</v>
      </c>
      <c r="E90" s="2">
        <v>11</v>
      </c>
      <c r="F90" s="2">
        <v>29</v>
      </c>
      <c r="G90" s="2">
        <v>21</v>
      </c>
      <c r="H90" s="2">
        <v>8</v>
      </c>
      <c r="I90" s="7">
        <f t="shared" si="4"/>
        <v>0.45</v>
      </c>
      <c r="J90" s="5">
        <f t="shared" si="5"/>
        <v>1.45</v>
      </c>
      <c r="K90" s="5">
        <f t="shared" si="6"/>
        <v>1.05</v>
      </c>
      <c r="L90" s="10">
        <f t="shared" si="7"/>
        <v>0.4</v>
      </c>
      <c r="M90" s="2">
        <v>1</v>
      </c>
      <c r="N90" s="2">
        <v>16</v>
      </c>
    </row>
    <row r="91" spans="1:14" x14ac:dyDescent="0.3">
      <c r="A91" s="2">
        <v>2010</v>
      </c>
      <c r="B91" s="2" t="s">
        <v>38</v>
      </c>
      <c r="C91" s="2">
        <v>20</v>
      </c>
      <c r="D91" s="2">
        <v>11</v>
      </c>
      <c r="E91" s="2">
        <v>9</v>
      </c>
      <c r="F91" s="2">
        <v>26</v>
      </c>
      <c r="G91" s="2">
        <v>19</v>
      </c>
      <c r="H91" s="2">
        <v>7</v>
      </c>
      <c r="I91" s="7">
        <f t="shared" si="4"/>
        <v>0.55000000000000004</v>
      </c>
      <c r="J91" s="5">
        <f t="shared" si="5"/>
        <v>1.3</v>
      </c>
      <c r="K91" s="5">
        <f t="shared" si="6"/>
        <v>0.95</v>
      </c>
      <c r="L91" s="10">
        <f t="shared" si="7"/>
        <v>0.35</v>
      </c>
      <c r="M91" s="2">
        <v>1</v>
      </c>
      <c r="N91" s="2">
        <v>32</v>
      </c>
    </row>
    <row r="92" spans="1:14" x14ac:dyDescent="0.3">
      <c r="A92" s="2">
        <v>2010</v>
      </c>
      <c r="B92" s="2" t="s">
        <v>27</v>
      </c>
      <c r="C92" s="2">
        <v>20</v>
      </c>
      <c r="D92" s="2">
        <v>16</v>
      </c>
      <c r="E92" s="2">
        <v>4</v>
      </c>
      <c r="F92" s="2">
        <v>46</v>
      </c>
      <c r="G92" s="2">
        <v>13</v>
      </c>
      <c r="H92" s="2">
        <v>33</v>
      </c>
      <c r="I92" s="7">
        <f t="shared" si="4"/>
        <v>0.8</v>
      </c>
      <c r="J92" s="5">
        <f t="shared" si="5"/>
        <v>2.2999999999999998</v>
      </c>
      <c r="K92" s="5">
        <f t="shared" si="6"/>
        <v>0.65</v>
      </c>
      <c r="L92" s="10">
        <f t="shared" si="7"/>
        <v>1.65</v>
      </c>
      <c r="M92" s="2">
        <v>2</v>
      </c>
      <c r="N92" s="2">
        <v>4</v>
      </c>
    </row>
    <row r="93" spans="1:14" x14ac:dyDescent="0.3">
      <c r="A93" s="2">
        <v>2010</v>
      </c>
      <c r="B93" s="2" t="s">
        <v>7</v>
      </c>
      <c r="C93" s="2">
        <v>20</v>
      </c>
      <c r="D93" s="2">
        <v>15</v>
      </c>
      <c r="E93" s="2">
        <v>5</v>
      </c>
      <c r="F93" s="2">
        <v>44</v>
      </c>
      <c r="G93" s="2">
        <v>14</v>
      </c>
      <c r="H93" s="2">
        <v>30</v>
      </c>
      <c r="I93" s="7">
        <f t="shared" si="4"/>
        <v>0.75</v>
      </c>
      <c r="J93" s="5">
        <f t="shared" si="5"/>
        <v>2.2000000000000002</v>
      </c>
      <c r="K93" s="5">
        <f t="shared" si="6"/>
        <v>0.7</v>
      </c>
      <c r="L93" s="10">
        <f t="shared" si="7"/>
        <v>1.5</v>
      </c>
      <c r="M93" s="2">
        <v>3</v>
      </c>
      <c r="N93" s="2">
        <v>1</v>
      </c>
    </row>
    <row r="94" spans="1:14" x14ac:dyDescent="0.3">
      <c r="A94" s="2">
        <v>2010</v>
      </c>
      <c r="B94" s="2" t="s">
        <v>0</v>
      </c>
      <c r="C94" s="2">
        <v>20</v>
      </c>
      <c r="D94" s="2">
        <v>11</v>
      </c>
      <c r="E94" s="2">
        <v>9</v>
      </c>
      <c r="F94" s="2">
        <v>34</v>
      </c>
      <c r="G94" s="2">
        <v>21</v>
      </c>
      <c r="H94" s="2">
        <v>13</v>
      </c>
      <c r="I94" s="7">
        <f t="shared" si="4"/>
        <v>0.55000000000000004</v>
      </c>
      <c r="J94" s="5">
        <f t="shared" si="5"/>
        <v>1.7</v>
      </c>
      <c r="K94" s="5">
        <f t="shared" si="6"/>
        <v>1.05</v>
      </c>
      <c r="L94" s="10">
        <f t="shared" si="7"/>
        <v>0.65</v>
      </c>
      <c r="M94" s="2">
        <v>2</v>
      </c>
      <c r="N94" s="2">
        <v>7</v>
      </c>
    </row>
    <row r="95" spans="1:14" x14ac:dyDescent="0.3">
      <c r="A95" s="2">
        <v>2010</v>
      </c>
      <c r="B95" s="2" t="s">
        <v>12</v>
      </c>
      <c r="C95" s="2">
        <v>20</v>
      </c>
      <c r="D95" s="2">
        <v>11</v>
      </c>
      <c r="E95" s="2">
        <v>9</v>
      </c>
      <c r="F95" s="2">
        <v>38</v>
      </c>
      <c r="G95" s="2">
        <v>15</v>
      </c>
      <c r="H95" s="2">
        <v>23</v>
      </c>
      <c r="I95" s="7">
        <f t="shared" si="4"/>
        <v>0.55000000000000004</v>
      </c>
      <c r="J95" s="5">
        <f t="shared" si="5"/>
        <v>1.9</v>
      </c>
      <c r="K95" s="5">
        <f t="shared" si="6"/>
        <v>0.75</v>
      </c>
      <c r="L95" s="10">
        <f t="shared" si="7"/>
        <v>1.1499999999999999</v>
      </c>
      <c r="M95" s="2">
        <v>3</v>
      </c>
      <c r="N95" s="2">
        <v>6</v>
      </c>
    </row>
    <row r="96" spans="1:14" x14ac:dyDescent="0.3">
      <c r="A96" s="2">
        <v>2010</v>
      </c>
      <c r="B96" s="2" t="s">
        <v>6</v>
      </c>
      <c r="C96" s="2">
        <v>20</v>
      </c>
      <c r="D96" s="2">
        <v>6</v>
      </c>
      <c r="E96" s="2">
        <v>14</v>
      </c>
      <c r="F96" s="2">
        <v>18</v>
      </c>
      <c r="G96" s="2">
        <v>22</v>
      </c>
      <c r="H96" s="2">
        <v>-4</v>
      </c>
      <c r="I96" s="7">
        <f t="shared" si="4"/>
        <v>0.3</v>
      </c>
      <c r="J96" s="5">
        <f t="shared" si="5"/>
        <v>0.9</v>
      </c>
      <c r="K96" s="5">
        <f t="shared" si="6"/>
        <v>1.1000000000000001</v>
      </c>
      <c r="L96" s="10">
        <f t="shared" si="7"/>
        <v>-0.2</v>
      </c>
      <c r="M96" s="2">
        <v>1</v>
      </c>
      <c r="N96" s="2">
        <v>31</v>
      </c>
    </row>
    <row r="97" spans="1:14" x14ac:dyDescent="0.3">
      <c r="A97" s="2">
        <v>2010</v>
      </c>
      <c r="B97" s="2" t="s">
        <v>9</v>
      </c>
      <c r="C97" s="2">
        <v>20</v>
      </c>
      <c r="D97" s="2">
        <v>19</v>
      </c>
      <c r="E97" s="2">
        <v>1</v>
      </c>
      <c r="F97" s="2">
        <v>53</v>
      </c>
      <c r="G97" s="2">
        <v>11</v>
      </c>
      <c r="H97" s="2">
        <v>42</v>
      </c>
      <c r="I97" s="7">
        <f t="shared" si="4"/>
        <v>0.95</v>
      </c>
      <c r="J97" s="5">
        <f t="shared" si="5"/>
        <v>2.65</v>
      </c>
      <c r="K97" s="5">
        <f t="shared" si="6"/>
        <v>0.55000000000000004</v>
      </c>
      <c r="L97" s="10">
        <f t="shared" si="7"/>
        <v>2.1</v>
      </c>
      <c r="M97" s="2">
        <v>7</v>
      </c>
      <c r="N97" s="2">
        <v>2</v>
      </c>
    </row>
    <row r="98" spans="1:14" x14ac:dyDescent="0.3">
      <c r="A98" s="2">
        <v>2014</v>
      </c>
      <c r="B98" s="2" t="s">
        <v>7</v>
      </c>
      <c r="C98" s="2">
        <v>20</v>
      </c>
      <c r="D98" s="2">
        <v>17</v>
      </c>
      <c r="E98" s="2">
        <v>3</v>
      </c>
      <c r="F98" s="2">
        <v>53</v>
      </c>
      <c r="G98" s="2">
        <v>11</v>
      </c>
      <c r="H98" s="2">
        <v>42</v>
      </c>
      <c r="I98" s="7">
        <f t="shared" si="4"/>
        <v>0.85</v>
      </c>
      <c r="J98" s="5">
        <f t="shared" si="5"/>
        <v>2.65</v>
      </c>
      <c r="K98" s="5">
        <f t="shared" si="6"/>
        <v>0.55000000000000004</v>
      </c>
      <c r="L98" s="10">
        <f t="shared" si="7"/>
        <v>2.1</v>
      </c>
      <c r="M98" s="2">
        <v>2</v>
      </c>
      <c r="N98" s="2">
        <v>3</v>
      </c>
    </row>
    <row r="99" spans="1:14" x14ac:dyDescent="0.3">
      <c r="A99" s="2">
        <v>2014</v>
      </c>
      <c r="B99" s="2" t="s">
        <v>39</v>
      </c>
      <c r="C99" s="2">
        <v>20</v>
      </c>
      <c r="D99" s="2">
        <v>11</v>
      </c>
      <c r="E99" s="2">
        <v>9</v>
      </c>
      <c r="F99" s="2">
        <v>34</v>
      </c>
      <c r="G99" s="2">
        <v>14</v>
      </c>
      <c r="H99" s="2">
        <v>20</v>
      </c>
      <c r="I99" s="7">
        <f t="shared" si="4"/>
        <v>0.55000000000000004</v>
      </c>
      <c r="J99" s="5">
        <f t="shared" si="5"/>
        <v>1.7</v>
      </c>
      <c r="K99" s="5">
        <f t="shared" si="6"/>
        <v>0.7</v>
      </c>
      <c r="L99" s="10">
        <f t="shared" si="7"/>
        <v>1</v>
      </c>
      <c r="M99" s="2">
        <v>1</v>
      </c>
      <c r="N99" s="2">
        <v>8</v>
      </c>
    </row>
    <row r="100" spans="1:14" x14ac:dyDescent="0.3">
      <c r="A100" s="2">
        <v>2014</v>
      </c>
      <c r="B100" s="2" t="s">
        <v>16</v>
      </c>
      <c r="C100" s="2">
        <v>20</v>
      </c>
      <c r="D100" s="2">
        <v>12</v>
      </c>
      <c r="E100" s="2">
        <v>8</v>
      </c>
      <c r="F100" s="2">
        <v>47</v>
      </c>
      <c r="G100" s="2">
        <v>16</v>
      </c>
      <c r="H100" s="2">
        <v>31</v>
      </c>
      <c r="I100" s="7">
        <f t="shared" si="4"/>
        <v>0.6</v>
      </c>
      <c r="J100" s="5">
        <f t="shared" si="5"/>
        <v>2.35</v>
      </c>
      <c r="K100" s="5">
        <f t="shared" si="6"/>
        <v>0.8</v>
      </c>
      <c r="L100" s="10">
        <f t="shared" si="7"/>
        <v>1.55</v>
      </c>
      <c r="M100" s="2">
        <v>1</v>
      </c>
      <c r="N100" s="2">
        <v>17</v>
      </c>
    </row>
    <row r="101" spans="1:14" x14ac:dyDescent="0.3">
      <c r="A101" s="2">
        <v>2014</v>
      </c>
      <c r="B101" s="2" t="s">
        <v>12</v>
      </c>
      <c r="C101" s="2">
        <v>20</v>
      </c>
      <c r="D101" s="2">
        <v>13</v>
      </c>
      <c r="E101" s="2">
        <v>7</v>
      </c>
      <c r="F101" s="2">
        <v>51</v>
      </c>
      <c r="G101" s="2">
        <v>22</v>
      </c>
      <c r="H101" s="2">
        <v>29</v>
      </c>
      <c r="I101" s="7">
        <f t="shared" si="4"/>
        <v>0.65</v>
      </c>
      <c r="J101" s="5">
        <f t="shared" si="5"/>
        <v>2.5499999999999998</v>
      </c>
      <c r="K101" s="5">
        <f t="shared" si="6"/>
        <v>1.1000000000000001</v>
      </c>
      <c r="L101" s="10">
        <f t="shared" si="7"/>
        <v>1.45</v>
      </c>
      <c r="M101" s="2">
        <v>4</v>
      </c>
      <c r="N101" s="2">
        <v>2</v>
      </c>
    </row>
    <row r="102" spans="1:14" x14ac:dyDescent="0.3">
      <c r="A102" s="2">
        <v>2014</v>
      </c>
      <c r="B102" s="2" t="s">
        <v>27</v>
      </c>
      <c r="C102" s="2">
        <v>20</v>
      </c>
      <c r="D102" s="2">
        <v>12</v>
      </c>
      <c r="E102" s="2">
        <v>8</v>
      </c>
      <c r="F102" s="2">
        <v>41</v>
      </c>
      <c r="G102" s="2">
        <v>16</v>
      </c>
      <c r="H102" s="2">
        <v>25</v>
      </c>
      <c r="I102" s="7">
        <f t="shared" si="4"/>
        <v>0.6</v>
      </c>
      <c r="J102" s="5">
        <f t="shared" si="5"/>
        <v>2.0499999999999998</v>
      </c>
      <c r="K102" s="5">
        <f t="shared" si="6"/>
        <v>0.8</v>
      </c>
      <c r="L102" s="10">
        <f t="shared" si="7"/>
        <v>1.25</v>
      </c>
      <c r="M102" s="2">
        <v>2</v>
      </c>
      <c r="N102" s="2">
        <v>15</v>
      </c>
    </row>
    <row r="103" spans="1:14" x14ac:dyDescent="0.3">
      <c r="A103" s="2">
        <v>2014</v>
      </c>
      <c r="B103" s="2" t="s">
        <v>40</v>
      </c>
      <c r="C103" s="2">
        <v>20</v>
      </c>
      <c r="D103" s="2">
        <v>9</v>
      </c>
      <c r="E103" s="2">
        <v>11</v>
      </c>
      <c r="F103" s="2">
        <v>23</v>
      </c>
      <c r="G103" s="2">
        <v>18</v>
      </c>
      <c r="H103" s="2">
        <v>5</v>
      </c>
      <c r="I103" s="7">
        <f t="shared" si="4"/>
        <v>0.45</v>
      </c>
      <c r="J103" s="5">
        <f t="shared" si="5"/>
        <v>1.1499999999999999</v>
      </c>
      <c r="K103" s="5">
        <f t="shared" si="6"/>
        <v>0.9</v>
      </c>
      <c r="L103" s="10">
        <f t="shared" si="7"/>
        <v>0.25</v>
      </c>
      <c r="M103" s="2">
        <v>1</v>
      </c>
      <c r="N103" s="2">
        <v>28</v>
      </c>
    </row>
    <row r="104" spans="1:14" x14ac:dyDescent="0.3">
      <c r="A104" s="2">
        <v>2014</v>
      </c>
      <c r="B104" s="2" t="s">
        <v>0</v>
      </c>
      <c r="C104" s="2">
        <v>20</v>
      </c>
      <c r="D104" s="2">
        <v>12</v>
      </c>
      <c r="E104" s="2">
        <v>8</v>
      </c>
      <c r="F104" s="2">
        <v>39</v>
      </c>
      <c r="G104" s="2">
        <v>15</v>
      </c>
      <c r="H104" s="2">
        <v>24</v>
      </c>
      <c r="I104" s="7">
        <f t="shared" si="4"/>
        <v>0.6</v>
      </c>
      <c r="J104" s="5">
        <f t="shared" si="5"/>
        <v>1.95</v>
      </c>
      <c r="K104" s="5">
        <f t="shared" si="6"/>
        <v>0.75</v>
      </c>
      <c r="L104" s="10">
        <f t="shared" si="7"/>
        <v>1.2</v>
      </c>
      <c r="M104" s="2">
        <v>3</v>
      </c>
      <c r="N104" s="2">
        <v>5</v>
      </c>
    </row>
    <row r="105" spans="1:14" x14ac:dyDescent="0.3">
      <c r="A105" s="2">
        <v>2014</v>
      </c>
      <c r="B105" s="2" t="s">
        <v>28</v>
      </c>
      <c r="C105" s="2">
        <v>20</v>
      </c>
      <c r="D105" s="2">
        <v>13</v>
      </c>
      <c r="E105" s="2">
        <v>7</v>
      </c>
      <c r="F105" s="2">
        <v>36</v>
      </c>
      <c r="G105" s="2">
        <v>17</v>
      </c>
      <c r="H105" s="2">
        <v>19</v>
      </c>
      <c r="I105" s="7">
        <f t="shared" si="4"/>
        <v>0.65</v>
      </c>
      <c r="J105" s="5">
        <f t="shared" si="5"/>
        <v>1.8</v>
      </c>
      <c r="K105" s="5">
        <f t="shared" si="6"/>
        <v>0.85</v>
      </c>
      <c r="L105" s="10">
        <f t="shared" si="7"/>
        <v>0.95</v>
      </c>
      <c r="M105" s="2">
        <v>1</v>
      </c>
      <c r="N105" s="2">
        <v>11</v>
      </c>
    </row>
    <row r="106" spans="1:14" x14ac:dyDescent="0.3">
      <c r="A106" s="2">
        <v>2018</v>
      </c>
      <c r="B106" s="2" t="s">
        <v>1</v>
      </c>
      <c r="C106" s="2">
        <v>20</v>
      </c>
      <c r="D106" s="2">
        <v>8</v>
      </c>
      <c r="E106" s="2">
        <v>12</v>
      </c>
      <c r="F106" s="2">
        <v>27</v>
      </c>
      <c r="G106" s="2">
        <v>27</v>
      </c>
      <c r="H106" s="2">
        <v>0</v>
      </c>
      <c r="I106" s="7">
        <f t="shared" si="4"/>
        <v>0.4</v>
      </c>
      <c r="J106" s="5">
        <f t="shared" si="5"/>
        <v>1.35</v>
      </c>
      <c r="K106" s="5">
        <f t="shared" si="6"/>
        <v>1.35</v>
      </c>
      <c r="L106" s="10">
        <f t="shared" si="7"/>
        <v>0</v>
      </c>
      <c r="M106" s="2">
        <v>2</v>
      </c>
      <c r="N106" s="2">
        <v>14</v>
      </c>
    </row>
    <row r="107" spans="1:14" x14ac:dyDescent="0.3">
      <c r="A107" s="2">
        <v>2018</v>
      </c>
      <c r="B107" s="2" t="s">
        <v>16</v>
      </c>
      <c r="C107" s="2">
        <v>20</v>
      </c>
      <c r="D107" s="2">
        <v>13</v>
      </c>
      <c r="E107" s="2">
        <v>7</v>
      </c>
      <c r="F107" s="2">
        <v>42</v>
      </c>
      <c r="G107" s="2">
        <v>19</v>
      </c>
      <c r="H107" s="2">
        <v>23</v>
      </c>
      <c r="I107" s="7">
        <f t="shared" si="4"/>
        <v>0.65</v>
      </c>
      <c r="J107" s="5">
        <f t="shared" si="5"/>
        <v>2.1</v>
      </c>
      <c r="K107" s="5">
        <f t="shared" si="6"/>
        <v>0.95</v>
      </c>
      <c r="L107" s="10">
        <f t="shared" si="7"/>
        <v>1.1499999999999999</v>
      </c>
      <c r="M107" s="2">
        <v>4</v>
      </c>
      <c r="N107" s="2">
        <v>7</v>
      </c>
    </row>
    <row r="108" spans="1:14" x14ac:dyDescent="0.3">
      <c r="A108" s="2">
        <v>2018</v>
      </c>
      <c r="B108" s="2" t="s">
        <v>7</v>
      </c>
      <c r="C108" s="2">
        <v>20</v>
      </c>
      <c r="D108" s="2">
        <v>15</v>
      </c>
      <c r="E108" s="2">
        <v>5</v>
      </c>
      <c r="F108" s="2">
        <v>42</v>
      </c>
      <c r="G108" s="2">
        <v>5</v>
      </c>
      <c r="H108" s="2">
        <v>37</v>
      </c>
      <c r="I108" s="7">
        <f t="shared" si="4"/>
        <v>0.75</v>
      </c>
      <c r="J108" s="5">
        <f t="shared" si="5"/>
        <v>2.1</v>
      </c>
      <c r="K108" s="5">
        <f t="shared" si="6"/>
        <v>0.25</v>
      </c>
      <c r="L108" s="10">
        <f t="shared" si="7"/>
        <v>1.85</v>
      </c>
      <c r="M108" s="2">
        <v>2</v>
      </c>
      <c r="N108" s="2">
        <v>2</v>
      </c>
    </row>
    <row r="109" spans="1:14" x14ac:dyDescent="0.3">
      <c r="A109" s="2">
        <v>2018</v>
      </c>
      <c r="B109" s="2" t="s">
        <v>28</v>
      </c>
      <c r="C109" s="2">
        <v>20</v>
      </c>
      <c r="D109" s="2">
        <v>14</v>
      </c>
      <c r="E109" s="2">
        <v>6</v>
      </c>
      <c r="F109" s="2">
        <v>63</v>
      </c>
      <c r="G109" s="2">
        <v>19</v>
      </c>
      <c r="H109" s="2">
        <v>44</v>
      </c>
      <c r="I109" s="7">
        <f t="shared" si="4"/>
        <v>0.7</v>
      </c>
      <c r="J109" s="5">
        <f t="shared" si="5"/>
        <v>3.15</v>
      </c>
      <c r="K109" s="5">
        <f t="shared" si="6"/>
        <v>0.95</v>
      </c>
      <c r="L109" s="10">
        <f t="shared" si="7"/>
        <v>2.2000000000000002</v>
      </c>
      <c r="M109" s="2">
        <v>3</v>
      </c>
      <c r="N109" s="2">
        <v>3</v>
      </c>
    </row>
    <row r="110" spans="1:14" x14ac:dyDescent="0.3">
      <c r="A110" s="2">
        <v>2018</v>
      </c>
      <c r="B110" s="2" t="s">
        <v>13</v>
      </c>
      <c r="C110" s="2">
        <v>20</v>
      </c>
      <c r="D110" s="2">
        <v>8</v>
      </c>
      <c r="E110" s="2">
        <v>12</v>
      </c>
      <c r="F110" s="2">
        <v>31</v>
      </c>
      <c r="G110" s="2">
        <v>18</v>
      </c>
      <c r="H110" s="2">
        <v>13</v>
      </c>
      <c r="I110" s="7">
        <f t="shared" si="4"/>
        <v>0.4</v>
      </c>
      <c r="J110" s="5">
        <f t="shared" si="5"/>
        <v>1.55</v>
      </c>
      <c r="K110" s="5">
        <f t="shared" si="6"/>
        <v>0.9</v>
      </c>
      <c r="L110" s="10">
        <f t="shared" si="7"/>
        <v>0.65</v>
      </c>
      <c r="M110" s="2">
        <v>0</v>
      </c>
      <c r="N110" s="2">
        <v>24</v>
      </c>
    </row>
    <row r="111" spans="1:14" x14ac:dyDescent="0.3">
      <c r="A111" s="2">
        <v>2018</v>
      </c>
      <c r="B111" s="2" t="s">
        <v>19</v>
      </c>
      <c r="C111" s="2">
        <v>20</v>
      </c>
      <c r="D111" s="2">
        <v>11</v>
      </c>
      <c r="E111" s="2">
        <v>9</v>
      </c>
      <c r="F111" s="2">
        <v>29</v>
      </c>
      <c r="G111" s="2">
        <v>12</v>
      </c>
      <c r="H111" s="2">
        <v>17</v>
      </c>
      <c r="I111" s="7">
        <f t="shared" si="4"/>
        <v>0.55000000000000004</v>
      </c>
      <c r="J111" s="5">
        <f t="shared" si="5"/>
        <v>1.45</v>
      </c>
      <c r="K111" s="5">
        <f t="shared" si="6"/>
        <v>0.6</v>
      </c>
      <c r="L111" s="10">
        <f t="shared" si="7"/>
        <v>0.85</v>
      </c>
      <c r="M111" s="2">
        <v>1</v>
      </c>
      <c r="N111" s="2">
        <v>12</v>
      </c>
    </row>
    <row r="112" spans="1:14" x14ac:dyDescent="0.3">
      <c r="A112" s="2">
        <v>2018</v>
      </c>
      <c r="B112" s="2" t="s">
        <v>41</v>
      </c>
      <c r="C112" s="2">
        <v>20</v>
      </c>
      <c r="D112" s="2">
        <v>5</v>
      </c>
      <c r="E112" s="2">
        <v>15</v>
      </c>
      <c r="F112" s="2">
        <v>25</v>
      </c>
      <c r="G112" s="2">
        <v>32</v>
      </c>
      <c r="H112" s="2">
        <v>-7</v>
      </c>
      <c r="I112" s="7">
        <f t="shared" si="4"/>
        <v>0.25</v>
      </c>
      <c r="J112" s="5">
        <f t="shared" si="5"/>
        <v>1.25</v>
      </c>
      <c r="K112" s="5">
        <f t="shared" si="6"/>
        <v>1.6</v>
      </c>
      <c r="L112" s="10">
        <f t="shared" si="7"/>
        <v>-0.35</v>
      </c>
      <c r="M112" s="2">
        <v>0</v>
      </c>
      <c r="N112" s="2">
        <v>70</v>
      </c>
    </row>
    <row r="113" spans="1:14" x14ac:dyDescent="0.3">
      <c r="A113" s="2">
        <v>2018</v>
      </c>
      <c r="B113" s="2" t="s">
        <v>33</v>
      </c>
      <c r="C113" s="2">
        <v>20</v>
      </c>
      <c r="D113" s="2">
        <v>11</v>
      </c>
      <c r="E113" s="2">
        <v>9</v>
      </c>
      <c r="F113" s="2">
        <v>28</v>
      </c>
      <c r="G113" s="2">
        <v>17</v>
      </c>
      <c r="H113" s="2">
        <v>11</v>
      </c>
      <c r="I113" s="7">
        <f t="shared" si="4"/>
        <v>0.55000000000000004</v>
      </c>
      <c r="J113" s="5">
        <f t="shared" si="5"/>
        <v>1.4</v>
      </c>
      <c r="K113" s="5">
        <f t="shared" si="6"/>
        <v>0.85</v>
      </c>
      <c r="L113" s="10">
        <f t="shared" si="7"/>
        <v>0.55000000000000004</v>
      </c>
      <c r="M113" s="2">
        <v>2</v>
      </c>
      <c r="N113" s="2">
        <v>20</v>
      </c>
    </row>
    <row r="114" spans="1:14" x14ac:dyDescent="0.3">
      <c r="A114" s="2">
        <v>2022</v>
      </c>
      <c r="B114" s="2" t="s">
        <v>27</v>
      </c>
      <c r="C114" s="2">
        <v>20</v>
      </c>
      <c r="D114" s="2">
        <v>13</v>
      </c>
      <c r="E114" s="2">
        <v>7</v>
      </c>
      <c r="F114" s="2">
        <v>49</v>
      </c>
      <c r="G114" s="2">
        <v>19</v>
      </c>
      <c r="H114" s="2">
        <v>30</v>
      </c>
      <c r="I114" s="7">
        <f t="shared" si="4"/>
        <v>0.65</v>
      </c>
      <c r="J114" s="5">
        <f t="shared" si="5"/>
        <v>2.4500000000000002</v>
      </c>
      <c r="K114" s="5">
        <f t="shared" si="6"/>
        <v>0.95</v>
      </c>
      <c r="L114" s="10">
        <f t="shared" si="7"/>
        <v>1.5</v>
      </c>
      <c r="M114" s="2">
        <v>2</v>
      </c>
      <c r="N114" s="2">
        <v>8</v>
      </c>
    </row>
    <row r="115" spans="1:14" x14ac:dyDescent="0.3">
      <c r="A115" s="2">
        <v>2022</v>
      </c>
      <c r="B115" s="2" t="s">
        <v>0</v>
      </c>
      <c r="C115" s="2">
        <v>20</v>
      </c>
      <c r="D115" s="2">
        <v>15</v>
      </c>
      <c r="E115" s="2">
        <v>5</v>
      </c>
      <c r="F115" s="2">
        <v>43</v>
      </c>
      <c r="G115" s="2">
        <v>4</v>
      </c>
      <c r="H115" s="2">
        <v>39</v>
      </c>
      <c r="I115" s="7">
        <f t="shared" si="4"/>
        <v>0.75</v>
      </c>
      <c r="J115" s="5">
        <f t="shared" si="5"/>
        <v>2.15</v>
      </c>
      <c r="K115" s="5">
        <f t="shared" si="6"/>
        <v>0.2</v>
      </c>
      <c r="L115" s="10">
        <f t="shared" si="7"/>
        <v>1.95</v>
      </c>
      <c r="M115" s="2">
        <v>2</v>
      </c>
      <c r="N115" s="2">
        <v>3</v>
      </c>
    </row>
    <row r="116" spans="1:14" x14ac:dyDescent="0.3">
      <c r="A116" s="2">
        <v>2022</v>
      </c>
      <c r="B116" s="2" t="s">
        <v>33</v>
      </c>
      <c r="C116" s="2">
        <v>20</v>
      </c>
      <c r="D116" s="2">
        <v>12</v>
      </c>
      <c r="E116" s="2">
        <v>8</v>
      </c>
      <c r="F116" s="2">
        <v>36</v>
      </c>
      <c r="G116" s="2">
        <v>19</v>
      </c>
      <c r="H116" s="2">
        <v>17</v>
      </c>
      <c r="I116" s="7">
        <f t="shared" si="4"/>
        <v>0.6</v>
      </c>
      <c r="J116" s="5">
        <f t="shared" si="5"/>
        <v>1.8</v>
      </c>
      <c r="K116" s="5">
        <f t="shared" si="6"/>
        <v>0.95</v>
      </c>
      <c r="L116" s="10">
        <f t="shared" si="7"/>
        <v>0.85</v>
      </c>
      <c r="M116" s="2">
        <v>1</v>
      </c>
      <c r="N116" s="2">
        <v>12</v>
      </c>
    </row>
    <row r="117" spans="1:14" x14ac:dyDescent="0.3">
      <c r="A117" s="2">
        <v>2022</v>
      </c>
      <c r="B117" s="2" t="s">
        <v>7</v>
      </c>
      <c r="C117" s="2">
        <v>20</v>
      </c>
      <c r="D117" s="2">
        <v>15</v>
      </c>
      <c r="E117" s="2">
        <v>5</v>
      </c>
      <c r="F117" s="2">
        <v>45</v>
      </c>
      <c r="G117" s="2">
        <v>7</v>
      </c>
      <c r="H117" s="2">
        <v>38</v>
      </c>
      <c r="I117" s="7">
        <f t="shared" si="4"/>
        <v>0.75</v>
      </c>
      <c r="J117" s="5">
        <f t="shared" si="5"/>
        <v>2.25</v>
      </c>
      <c r="K117" s="5">
        <f t="shared" si="6"/>
        <v>0.35</v>
      </c>
      <c r="L117" s="10">
        <f t="shared" si="7"/>
        <v>1.9</v>
      </c>
      <c r="M117" s="2">
        <v>3</v>
      </c>
      <c r="N117" s="2">
        <v>1</v>
      </c>
    </row>
    <row r="118" spans="1:14" x14ac:dyDescent="0.3">
      <c r="A118" s="2">
        <v>2022</v>
      </c>
      <c r="B118" s="2" t="s">
        <v>16</v>
      </c>
      <c r="C118" s="2">
        <v>20</v>
      </c>
      <c r="D118" s="2">
        <v>12</v>
      </c>
      <c r="E118" s="2">
        <v>8</v>
      </c>
      <c r="F118" s="2">
        <v>46</v>
      </c>
      <c r="G118" s="2">
        <v>16</v>
      </c>
      <c r="H118" s="2">
        <v>30</v>
      </c>
      <c r="I118" s="7">
        <f t="shared" si="4"/>
        <v>0.6</v>
      </c>
      <c r="J118" s="5">
        <f t="shared" si="5"/>
        <v>2.2999999999999998</v>
      </c>
      <c r="K118" s="5">
        <f t="shared" si="6"/>
        <v>0.8</v>
      </c>
      <c r="L118" s="10">
        <f t="shared" si="7"/>
        <v>1.5</v>
      </c>
      <c r="M118" s="2">
        <v>3</v>
      </c>
      <c r="N118" s="2">
        <v>4</v>
      </c>
    </row>
    <row r="119" spans="1:14" x14ac:dyDescent="0.3">
      <c r="A119" s="2">
        <v>2022</v>
      </c>
      <c r="B119" s="2" t="s">
        <v>19</v>
      </c>
      <c r="C119" s="2">
        <v>20</v>
      </c>
      <c r="D119" s="2">
        <v>11</v>
      </c>
      <c r="E119" s="2">
        <v>9</v>
      </c>
      <c r="F119" s="2">
        <v>42</v>
      </c>
      <c r="G119" s="2">
        <v>12</v>
      </c>
      <c r="H119" s="2">
        <v>30</v>
      </c>
      <c r="I119" s="7">
        <f t="shared" si="4"/>
        <v>0.55000000000000004</v>
      </c>
      <c r="J119" s="5">
        <f t="shared" si="5"/>
        <v>2.1</v>
      </c>
      <c r="K119" s="5">
        <f t="shared" si="6"/>
        <v>0.6</v>
      </c>
      <c r="L119" s="10">
        <f t="shared" si="7"/>
        <v>1.5</v>
      </c>
      <c r="M119" s="2">
        <v>2</v>
      </c>
      <c r="N119" s="2">
        <v>5</v>
      </c>
    </row>
    <row r="120" spans="1:14" x14ac:dyDescent="0.3">
      <c r="A120" s="2">
        <v>2022</v>
      </c>
      <c r="B120" s="2" t="s">
        <v>42</v>
      </c>
      <c r="C120" s="2">
        <v>20</v>
      </c>
      <c r="D120" s="2">
        <v>13</v>
      </c>
      <c r="E120" s="2">
        <v>7</v>
      </c>
      <c r="F120" s="2">
        <v>38</v>
      </c>
      <c r="G120" s="2">
        <v>15</v>
      </c>
      <c r="H120" s="2">
        <v>23</v>
      </c>
      <c r="I120" s="7">
        <f t="shared" si="4"/>
        <v>0.65</v>
      </c>
      <c r="J120" s="5">
        <f t="shared" si="5"/>
        <v>1.9</v>
      </c>
      <c r="K120" s="5">
        <f t="shared" si="6"/>
        <v>0.75</v>
      </c>
      <c r="L120" s="10">
        <f t="shared" si="7"/>
        <v>1.1499999999999999</v>
      </c>
      <c r="M120" s="2">
        <v>1</v>
      </c>
      <c r="N120" s="2">
        <v>22</v>
      </c>
    </row>
    <row r="121" spans="1:14" x14ac:dyDescent="0.3">
      <c r="A121" s="2">
        <v>2022</v>
      </c>
      <c r="B121" s="2" t="s">
        <v>23</v>
      </c>
      <c r="C121" s="2">
        <v>20</v>
      </c>
      <c r="D121" s="2">
        <v>13</v>
      </c>
      <c r="E121" s="2">
        <v>7</v>
      </c>
      <c r="F121" s="2">
        <v>43</v>
      </c>
      <c r="G121" s="2">
        <v>13</v>
      </c>
      <c r="H121" s="2">
        <v>30</v>
      </c>
      <c r="I121" s="7">
        <f t="shared" si="4"/>
        <v>0.65</v>
      </c>
      <c r="J121" s="5">
        <f t="shared" si="5"/>
        <v>2.15</v>
      </c>
      <c r="K121" s="5">
        <f t="shared" si="6"/>
        <v>0.65</v>
      </c>
      <c r="L121" s="10">
        <f t="shared" si="7"/>
        <v>1.5</v>
      </c>
      <c r="M121" s="2">
        <v>3</v>
      </c>
      <c r="N121" s="2">
        <v>9</v>
      </c>
    </row>
    <row r="122" spans="1:14" x14ac:dyDescent="0.3">
      <c r="L122" s="5"/>
    </row>
    <row r="123" spans="1:14" x14ac:dyDescent="0.3">
      <c r="L123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0B0D-C966-4CD7-8DF2-1DF07EEAA288}">
  <dimension ref="A1:M49"/>
  <sheetViews>
    <sheetView tabSelected="1" zoomScale="80" workbookViewId="0">
      <selection activeCell="N7" sqref="N7"/>
    </sheetView>
  </sheetViews>
  <sheetFormatPr defaultRowHeight="15.6" x14ac:dyDescent="0.3"/>
  <cols>
    <col min="1" max="1" width="24.88671875" style="11" bestFit="1" customWidth="1"/>
    <col min="2" max="2" width="15.21875" style="13" bestFit="1" customWidth="1"/>
    <col min="3" max="3" width="13.33203125" style="14" bestFit="1" customWidth="1"/>
    <col min="4" max="4" width="22.21875" style="14" bestFit="1" customWidth="1"/>
    <col min="5" max="5" width="12.88671875" style="14" bestFit="1" customWidth="1"/>
    <col min="6" max="6" width="17.21875" style="14" bestFit="1" customWidth="1"/>
    <col min="7" max="7" width="15.21875" style="14" bestFit="1" customWidth="1"/>
    <col min="8" max="8" width="6.109375" style="15" bestFit="1" customWidth="1"/>
    <col min="9" max="9" width="9.88671875" style="14" bestFit="1" customWidth="1"/>
    <col min="10" max="10" width="10" style="14" bestFit="1" customWidth="1"/>
    <col min="11" max="11" width="10.109375" style="14" bestFit="1" customWidth="1"/>
    <col min="12" max="12" width="11.5546875" style="14" bestFit="1" customWidth="1"/>
    <col min="13" max="13" width="29.109375" style="14" bestFit="1" customWidth="1"/>
  </cols>
  <sheetData>
    <row r="1" spans="1:13" ht="14.4" customHeight="1" x14ac:dyDescent="0.3">
      <c r="A1" s="12" t="s">
        <v>51</v>
      </c>
      <c r="B1" s="13" t="s">
        <v>44</v>
      </c>
      <c r="C1" s="14" t="s">
        <v>45</v>
      </c>
      <c r="D1" s="14" t="s">
        <v>52</v>
      </c>
      <c r="E1" s="14" t="s">
        <v>46</v>
      </c>
      <c r="F1" s="14" t="s">
        <v>47</v>
      </c>
      <c r="G1" s="14" t="s">
        <v>48</v>
      </c>
      <c r="H1" s="15" t="s">
        <v>86</v>
      </c>
      <c r="I1" s="14" t="s">
        <v>82</v>
      </c>
      <c r="J1" s="14" t="s">
        <v>83</v>
      </c>
      <c r="K1" s="14" t="s">
        <v>84</v>
      </c>
      <c r="L1" s="14" t="s">
        <v>85</v>
      </c>
      <c r="M1" s="14" t="s">
        <v>50</v>
      </c>
    </row>
    <row r="2" spans="1:13" ht="14.4" customHeight="1" x14ac:dyDescent="0.3">
      <c r="A2" s="16" t="s">
        <v>26</v>
      </c>
      <c r="B2" s="14">
        <v>20</v>
      </c>
      <c r="C2" s="14">
        <v>11</v>
      </c>
      <c r="D2" s="14">
        <v>9</v>
      </c>
      <c r="E2" s="14">
        <v>34</v>
      </c>
      <c r="F2" s="14">
        <v>22</v>
      </c>
      <c r="G2" s="14">
        <f t="shared" ref="G2:G49" si="0">E2-F2</f>
        <v>12</v>
      </c>
      <c r="H2" s="15">
        <f>C2/B2</f>
        <v>0.55000000000000004</v>
      </c>
      <c r="I2" s="14">
        <f>E2/B2</f>
        <v>1.7</v>
      </c>
      <c r="J2" s="14">
        <f>F2/B2</f>
        <v>1.1000000000000001</v>
      </c>
      <c r="K2" s="14">
        <f>G2/B2</f>
        <v>0.6</v>
      </c>
      <c r="L2" s="14">
        <v>0</v>
      </c>
      <c r="M2" s="14">
        <v>14</v>
      </c>
    </row>
    <row r="3" spans="1:13" x14ac:dyDescent="0.3">
      <c r="A3" s="17" t="s">
        <v>53</v>
      </c>
      <c r="B3" s="14">
        <v>20</v>
      </c>
      <c r="C3" s="14">
        <v>8</v>
      </c>
      <c r="D3" s="14">
        <v>12</v>
      </c>
      <c r="E3" s="14">
        <v>24</v>
      </c>
      <c r="F3" s="14">
        <v>19</v>
      </c>
      <c r="G3" s="14">
        <f t="shared" si="0"/>
        <v>5</v>
      </c>
      <c r="H3" s="15">
        <f t="shared" ref="H3:H49" si="1">C3/B3</f>
        <v>0.4</v>
      </c>
      <c r="I3" s="14">
        <f t="shared" ref="I3:I49" si="2">E3/B3</f>
        <v>1.2</v>
      </c>
      <c r="J3" s="14">
        <f t="shared" ref="J3:J49" si="3">F3/B3</f>
        <v>0.95</v>
      </c>
      <c r="K3" s="14">
        <f t="shared" ref="K3:K49" si="4">G3/B3</f>
        <v>0.25</v>
      </c>
      <c r="L3" s="14">
        <v>0</v>
      </c>
      <c r="M3" s="14">
        <v>60</v>
      </c>
    </row>
    <row r="4" spans="1:13" x14ac:dyDescent="0.3">
      <c r="A4" s="18" t="s">
        <v>34</v>
      </c>
      <c r="B4" s="14">
        <v>20</v>
      </c>
      <c r="C4" s="14">
        <v>12</v>
      </c>
      <c r="D4" s="14">
        <v>8</v>
      </c>
      <c r="E4" s="14">
        <v>31</v>
      </c>
      <c r="F4" s="14">
        <v>18</v>
      </c>
      <c r="G4" s="14">
        <f t="shared" si="0"/>
        <v>13</v>
      </c>
      <c r="H4" s="15">
        <f t="shared" si="1"/>
        <v>0.6</v>
      </c>
      <c r="I4" s="14">
        <f t="shared" si="2"/>
        <v>1.55</v>
      </c>
      <c r="J4" s="14">
        <f t="shared" si="3"/>
        <v>0.9</v>
      </c>
      <c r="K4" s="14">
        <f t="shared" si="4"/>
        <v>0.65</v>
      </c>
      <c r="L4" s="14">
        <v>2</v>
      </c>
      <c r="M4" s="14">
        <v>25</v>
      </c>
    </row>
    <row r="5" spans="1:13" x14ac:dyDescent="0.3">
      <c r="A5" s="11" t="s">
        <v>54</v>
      </c>
      <c r="B5" s="14">
        <v>20</v>
      </c>
      <c r="C5" s="14">
        <v>9</v>
      </c>
      <c r="D5" s="14">
        <v>11</v>
      </c>
      <c r="E5" s="14">
        <v>41</v>
      </c>
      <c r="F5" s="14">
        <v>24</v>
      </c>
      <c r="G5" s="14">
        <f t="shared" si="0"/>
        <v>17</v>
      </c>
      <c r="H5" s="15">
        <f t="shared" si="1"/>
        <v>0.45</v>
      </c>
      <c r="I5" s="14">
        <f t="shared" si="2"/>
        <v>2.0499999999999998</v>
      </c>
      <c r="J5" s="14">
        <f t="shared" si="3"/>
        <v>1.2</v>
      </c>
      <c r="K5" s="14">
        <f t="shared" si="4"/>
        <v>0.85</v>
      </c>
      <c r="L5" s="14">
        <v>0</v>
      </c>
      <c r="M5" s="14">
        <v>40</v>
      </c>
    </row>
    <row r="6" spans="1:13" x14ac:dyDescent="0.3">
      <c r="A6" s="11" t="s">
        <v>55</v>
      </c>
      <c r="B6" s="14">
        <v>20</v>
      </c>
      <c r="C6" s="14">
        <v>10</v>
      </c>
      <c r="D6" s="14">
        <v>10</v>
      </c>
      <c r="E6" s="14">
        <v>36</v>
      </c>
      <c r="F6" s="14">
        <v>23</v>
      </c>
      <c r="G6" s="14">
        <f t="shared" si="0"/>
        <v>13</v>
      </c>
      <c r="H6" s="15">
        <f t="shared" si="1"/>
        <v>0.5</v>
      </c>
      <c r="I6" s="14">
        <f t="shared" si="2"/>
        <v>1.8</v>
      </c>
      <c r="J6" s="14">
        <f t="shared" si="3"/>
        <v>1.1499999999999999</v>
      </c>
      <c r="K6" s="14">
        <f t="shared" si="4"/>
        <v>0.65</v>
      </c>
      <c r="L6" s="14">
        <v>1</v>
      </c>
      <c r="M6" s="14">
        <v>30</v>
      </c>
    </row>
    <row r="7" spans="1:13" x14ac:dyDescent="0.3">
      <c r="A7" s="11" t="s">
        <v>56</v>
      </c>
      <c r="B7" s="14">
        <v>20</v>
      </c>
      <c r="C7" s="14">
        <v>6</v>
      </c>
      <c r="D7" s="14">
        <v>14</v>
      </c>
      <c r="E7" s="14">
        <v>21</v>
      </c>
      <c r="F7" s="14">
        <v>32</v>
      </c>
      <c r="G7" s="14">
        <f t="shared" si="0"/>
        <v>-11</v>
      </c>
      <c r="H7" s="15">
        <f t="shared" si="1"/>
        <v>0.3</v>
      </c>
      <c r="I7" s="14">
        <f t="shared" si="2"/>
        <v>1.05</v>
      </c>
      <c r="J7" s="14">
        <f t="shared" si="3"/>
        <v>1.6</v>
      </c>
      <c r="K7" s="14">
        <f t="shared" si="4"/>
        <v>-0.55000000000000004</v>
      </c>
      <c r="L7" s="14">
        <v>1</v>
      </c>
      <c r="M7" s="14">
        <v>64</v>
      </c>
    </row>
    <row r="8" spans="1:13" x14ac:dyDescent="0.3">
      <c r="A8" s="11" t="s">
        <v>75</v>
      </c>
      <c r="B8" s="14">
        <v>20</v>
      </c>
      <c r="C8" s="14">
        <v>11</v>
      </c>
      <c r="D8" s="14">
        <v>9</v>
      </c>
      <c r="E8" s="14">
        <v>35</v>
      </c>
      <c r="F8" s="14">
        <v>24</v>
      </c>
      <c r="G8" s="14">
        <f t="shared" si="0"/>
        <v>11</v>
      </c>
      <c r="H8" s="15">
        <f t="shared" si="1"/>
        <v>0.55000000000000004</v>
      </c>
      <c r="I8" s="14">
        <f t="shared" si="2"/>
        <v>1.75</v>
      </c>
      <c r="J8" s="14">
        <f t="shared" si="3"/>
        <v>1.2</v>
      </c>
      <c r="K8" s="14">
        <f t="shared" si="4"/>
        <v>0.55000000000000004</v>
      </c>
      <c r="L8" s="14">
        <v>0</v>
      </c>
      <c r="M8" s="14">
        <v>56</v>
      </c>
    </row>
    <row r="9" spans="1:13" x14ac:dyDescent="0.3">
      <c r="A9" s="11" t="s">
        <v>15</v>
      </c>
      <c r="B9" s="14">
        <v>20</v>
      </c>
      <c r="C9" s="14">
        <v>10</v>
      </c>
      <c r="D9" s="14">
        <v>10</v>
      </c>
      <c r="E9" s="14">
        <v>33</v>
      </c>
      <c r="F9" s="14">
        <v>20</v>
      </c>
      <c r="G9" s="14">
        <f t="shared" si="0"/>
        <v>13</v>
      </c>
      <c r="H9" s="15">
        <f t="shared" si="1"/>
        <v>0.5</v>
      </c>
      <c r="I9" s="14">
        <f t="shared" si="2"/>
        <v>1.65</v>
      </c>
      <c r="J9" s="14">
        <f t="shared" si="3"/>
        <v>1</v>
      </c>
      <c r="K9" s="14">
        <f t="shared" si="4"/>
        <v>0.65</v>
      </c>
      <c r="L9" s="14">
        <v>1</v>
      </c>
      <c r="M9" s="14">
        <v>19</v>
      </c>
    </row>
    <row r="10" spans="1:13" x14ac:dyDescent="0.3">
      <c r="A10" s="11" t="s">
        <v>7</v>
      </c>
      <c r="B10" s="14">
        <v>20</v>
      </c>
      <c r="C10" s="14">
        <v>11</v>
      </c>
      <c r="D10" s="14">
        <v>9</v>
      </c>
      <c r="E10" s="14">
        <v>36</v>
      </c>
      <c r="F10" s="14">
        <v>19</v>
      </c>
      <c r="G10" s="14">
        <f t="shared" si="0"/>
        <v>17</v>
      </c>
      <c r="H10" s="15">
        <f t="shared" si="1"/>
        <v>0.55000000000000004</v>
      </c>
      <c r="I10" s="14">
        <f t="shared" si="2"/>
        <v>1.8</v>
      </c>
      <c r="J10" s="14">
        <f t="shared" si="3"/>
        <v>0.95</v>
      </c>
      <c r="K10" s="14">
        <f t="shared" si="4"/>
        <v>0.85</v>
      </c>
      <c r="L10" s="14">
        <v>1</v>
      </c>
      <c r="M10" s="14">
        <v>6</v>
      </c>
    </row>
    <row r="11" spans="1:13" x14ac:dyDescent="0.3">
      <c r="A11" s="11" t="s">
        <v>42</v>
      </c>
      <c r="B11" s="14">
        <v>20</v>
      </c>
      <c r="C11" s="14">
        <v>13</v>
      </c>
      <c r="D11" s="14">
        <v>7</v>
      </c>
      <c r="E11" s="14">
        <v>39</v>
      </c>
      <c r="F11" s="14">
        <v>15</v>
      </c>
      <c r="G11" s="14">
        <f t="shared" si="0"/>
        <v>24</v>
      </c>
      <c r="H11" s="15">
        <f t="shared" si="1"/>
        <v>0.65</v>
      </c>
      <c r="I11" s="14">
        <f t="shared" si="2"/>
        <v>1.95</v>
      </c>
      <c r="J11" s="14">
        <f t="shared" si="3"/>
        <v>0.75</v>
      </c>
      <c r="K11" s="14">
        <f t="shared" si="4"/>
        <v>1.2</v>
      </c>
      <c r="L11" s="14">
        <v>2</v>
      </c>
      <c r="M11" s="14">
        <v>7</v>
      </c>
    </row>
    <row r="12" spans="1:13" x14ac:dyDescent="0.3">
      <c r="A12" s="11" t="s">
        <v>59</v>
      </c>
      <c r="B12" s="14">
        <v>20</v>
      </c>
      <c r="C12" s="14">
        <v>7</v>
      </c>
      <c r="D12" s="14">
        <v>13</v>
      </c>
      <c r="E12" s="14">
        <v>26</v>
      </c>
      <c r="F12" s="14">
        <v>29</v>
      </c>
      <c r="G12" s="14">
        <f t="shared" si="0"/>
        <v>-3</v>
      </c>
      <c r="H12" s="15">
        <f t="shared" si="1"/>
        <v>0.35</v>
      </c>
      <c r="I12" s="14">
        <f t="shared" si="2"/>
        <v>1.3</v>
      </c>
      <c r="J12" s="14">
        <f t="shared" si="3"/>
        <v>1.45</v>
      </c>
      <c r="K12" s="14">
        <f t="shared" si="4"/>
        <v>-0.15</v>
      </c>
      <c r="L12" s="14">
        <v>2</v>
      </c>
      <c r="M12" s="14">
        <v>82</v>
      </c>
    </row>
    <row r="13" spans="1:13" x14ac:dyDescent="0.3">
      <c r="A13" s="11" t="s">
        <v>76</v>
      </c>
      <c r="B13" s="14">
        <v>20</v>
      </c>
      <c r="C13" s="14">
        <v>8</v>
      </c>
      <c r="D13" s="14">
        <v>12</v>
      </c>
      <c r="E13" s="14">
        <v>29</v>
      </c>
      <c r="F13" s="14">
        <v>30</v>
      </c>
      <c r="G13" s="14">
        <f t="shared" si="0"/>
        <v>-1</v>
      </c>
      <c r="H13" s="15">
        <f t="shared" si="1"/>
        <v>0.4</v>
      </c>
      <c r="I13" s="14">
        <f t="shared" si="2"/>
        <v>1.45</v>
      </c>
      <c r="J13" s="14">
        <f t="shared" si="3"/>
        <v>1.5</v>
      </c>
      <c r="K13" s="14">
        <f t="shared" si="4"/>
        <v>-0.05</v>
      </c>
      <c r="L13" s="14">
        <v>0</v>
      </c>
      <c r="M13" s="14">
        <v>42</v>
      </c>
    </row>
    <row r="14" spans="1:13" x14ac:dyDescent="0.3">
      <c r="A14" s="11" t="s">
        <v>2</v>
      </c>
      <c r="B14" s="14">
        <v>20</v>
      </c>
      <c r="C14" s="14">
        <v>11</v>
      </c>
      <c r="D14" s="14">
        <v>9</v>
      </c>
      <c r="E14" s="14">
        <v>38</v>
      </c>
      <c r="F14" s="14">
        <v>21</v>
      </c>
      <c r="G14" s="14">
        <f t="shared" si="0"/>
        <v>17</v>
      </c>
      <c r="H14" s="15">
        <f t="shared" si="1"/>
        <v>0.55000000000000004</v>
      </c>
      <c r="I14" s="14">
        <f t="shared" si="2"/>
        <v>1.9</v>
      </c>
      <c r="J14" s="14">
        <f t="shared" si="3"/>
        <v>1.05</v>
      </c>
      <c r="K14" s="14">
        <f t="shared" si="4"/>
        <v>0.85</v>
      </c>
      <c r="L14" s="14">
        <v>0</v>
      </c>
      <c r="M14" s="14">
        <v>17</v>
      </c>
    </row>
    <row r="15" spans="1:13" x14ac:dyDescent="0.3">
      <c r="A15" s="11" t="s">
        <v>6</v>
      </c>
      <c r="B15" s="14">
        <v>20</v>
      </c>
      <c r="C15" s="14">
        <v>7</v>
      </c>
      <c r="D15" s="14">
        <v>13</v>
      </c>
      <c r="E15" s="14">
        <v>20</v>
      </c>
      <c r="F15" s="14">
        <v>22</v>
      </c>
      <c r="G15" s="14">
        <f t="shared" si="0"/>
        <v>-2</v>
      </c>
      <c r="H15" s="15">
        <f t="shared" si="1"/>
        <v>0.35</v>
      </c>
      <c r="I15" s="14">
        <f t="shared" si="2"/>
        <v>1</v>
      </c>
      <c r="J15" s="14">
        <f t="shared" si="3"/>
        <v>1.1000000000000001</v>
      </c>
      <c r="K15" s="14">
        <f t="shared" si="4"/>
        <v>-0.1</v>
      </c>
      <c r="L15" s="14">
        <v>1</v>
      </c>
      <c r="M15" s="14">
        <v>41</v>
      </c>
    </row>
    <row r="16" spans="1:13" x14ac:dyDescent="0.3">
      <c r="A16" s="11" t="s">
        <v>60</v>
      </c>
      <c r="B16" s="14">
        <v>20</v>
      </c>
      <c r="C16" s="14">
        <v>12</v>
      </c>
      <c r="D16" s="14">
        <v>8</v>
      </c>
      <c r="E16" s="14">
        <v>37</v>
      </c>
      <c r="F16" s="14">
        <v>17</v>
      </c>
      <c r="G16" s="14">
        <f t="shared" si="0"/>
        <v>20</v>
      </c>
      <c r="H16" s="15">
        <f t="shared" si="1"/>
        <v>0.6</v>
      </c>
      <c r="I16" s="14">
        <f t="shared" si="2"/>
        <v>1.85</v>
      </c>
      <c r="J16" s="14">
        <f t="shared" si="3"/>
        <v>0.85</v>
      </c>
      <c r="K16" s="14">
        <f t="shared" si="4"/>
        <v>1</v>
      </c>
      <c r="L16" s="14">
        <v>0</v>
      </c>
      <c r="M16" s="14">
        <v>27</v>
      </c>
    </row>
    <row r="17" spans="1:13" x14ac:dyDescent="0.3">
      <c r="A17" s="11" t="s">
        <v>77</v>
      </c>
      <c r="B17" s="14">
        <v>20</v>
      </c>
      <c r="C17" s="14">
        <v>10</v>
      </c>
      <c r="D17" s="14">
        <v>10</v>
      </c>
      <c r="E17" s="14">
        <v>34</v>
      </c>
      <c r="F17" s="14">
        <v>26</v>
      </c>
      <c r="G17" s="14">
        <f t="shared" si="0"/>
        <v>8</v>
      </c>
      <c r="H17" s="15">
        <f t="shared" si="1"/>
        <v>0.5</v>
      </c>
      <c r="I17" s="14">
        <f t="shared" si="2"/>
        <v>1.7</v>
      </c>
      <c r="J17" s="14">
        <f t="shared" si="3"/>
        <v>1.3</v>
      </c>
      <c r="K17" s="14">
        <f t="shared" si="4"/>
        <v>0.4</v>
      </c>
      <c r="L17" s="14">
        <v>0</v>
      </c>
      <c r="M17" s="14">
        <v>22</v>
      </c>
    </row>
    <row r="18" spans="1:13" x14ac:dyDescent="0.3">
      <c r="A18" s="11" t="s">
        <v>12</v>
      </c>
      <c r="B18" s="14">
        <v>20</v>
      </c>
      <c r="C18" s="14">
        <v>12</v>
      </c>
      <c r="D18" s="14">
        <v>8</v>
      </c>
      <c r="E18" s="14">
        <v>41</v>
      </c>
      <c r="F18" s="14">
        <v>20</v>
      </c>
      <c r="G18" s="14">
        <f t="shared" si="0"/>
        <v>21</v>
      </c>
      <c r="H18" s="15">
        <f t="shared" si="1"/>
        <v>0.6</v>
      </c>
      <c r="I18" s="14">
        <f t="shared" si="2"/>
        <v>2.0499999999999998</v>
      </c>
      <c r="J18" s="14">
        <f t="shared" si="3"/>
        <v>1</v>
      </c>
      <c r="K18" s="14">
        <f t="shared" si="4"/>
        <v>1.05</v>
      </c>
      <c r="L18" s="14">
        <v>1</v>
      </c>
      <c r="M18" s="14">
        <v>10</v>
      </c>
    </row>
    <row r="19" spans="1:13" x14ac:dyDescent="0.3">
      <c r="A19" s="11" t="s">
        <v>61</v>
      </c>
      <c r="B19" s="14">
        <v>20</v>
      </c>
      <c r="C19" s="14">
        <v>6</v>
      </c>
      <c r="D19" s="14">
        <v>14</v>
      </c>
      <c r="E19" s="14">
        <v>22</v>
      </c>
      <c r="F19" s="14">
        <v>28</v>
      </c>
      <c r="G19" s="14">
        <f t="shared" si="0"/>
        <v>-6</v>
      </c>
      <c r="H19" s="15">
        <f t="shared" si="1"/>
        <v>0.3</v>
      </c>
      <c r="I19" s="14">
        <f t="shared" si="2"/>
        <v>1.1000000000000001</v>
      </c>
      <c r="J19" s="14">
        <f t="shared" si="3"/>
        <v>1.4</v>
      </c>
      <c r="K19" s="14">
        <f t="shared" si="4"/>
        <v>-0.3</v>
      </c>
      <c r="L19" s="14">
        <v>2</v>
      </c>
      <c r="M19" s="14">
        <v>83</v>
      </c>
    </row>
    <row r="20" spans="1:13" x14ac:dyDescent="0.3">
      <c r="A20" s="11" t="s">
        <v>62</v>
      </c>
      <c r="B20" s="14">
        <v>20</v>
      </c>
      <c r="C20" s="14">
        <v>11</v>
      </c>
      <c r="D20" s="14">
        <v>9</v>
      </c>
      <c r="E20" s="14">
        <v>35</v>
      </c>
      <c r="F20" s="14">
        <v>18</v>
      </c>
      <c r="G20" s="14">
        <f t="shared" si="0"/>
        <v>17</v>
      </c>
      <c r="H20" s="15">
        <f t="shared" si="1"/>
        <v>0.55000000000000004</v>
      </c>
      <c r="I20" s="14">
        <f t="shared" si="2"/>
        <v>1.75</v>
      </c>
      <c r="J20" s="14">
        <f t="shared" si="3"/>
        <v>0.9</v>
      </c>
      <c r="K20" s="14">
        <f t="shared" si="4"/>
        <v>0.85</v>
      </c>
      <c r="L20" s="14">
        <v>0</v>
      </c>
      <c r="M20" s="14">
        <v>33</v>
      </c>
    </row>
    <row r="21" spans="1:13" x14ac:dyDescent="0.3">
      <c r="A21" s="11" t="s">
        <v>63</v>
      </c>
      <c r="B21" s="14">
        <v>20</v>
      </c>
      <c r="C21" s="14">
        <v>10</v>
      </c>
      <c r="D21" s="14">
        <v>10</v>
      </c>
      <c r="E21" s="14">
        <v>28</v>
      </c>
      <c r="F21" s="14">
        <v>19</v>
      </c>
      <c r="G21" s="14">
        <f t="shared" si="0"/>
        <v>9</v>
      </c>
      <c r="H21" s="15">
        <f t="shared" si="1"/>
        <v>0.5</v>
      </c>
      <c r="I21" s="14">
        <f t="shared" si="2"/>
        <v>1.4</v>
      </c>
      <c r="J21" s="14">
        <f t="shared" si="3"/>
        <v>0.95</v>
      </c>
      <c r="K21" s="14">
        <f t="shared" si="4"/>
        <v>0.45</v>
      </c>
      <c r="L21" s="14">
        <v>0</v>
      </c>
      <c r="M21" s="14">
        <v>23</v>
      </c>
    </row>
    <row r="22" spans="1:13" x14ac:dyDescent="0.3">
      <c r="A22" s="11" t="s">
        <v>27</v>
      </c>
      <c r="B22" s="14">
        <v>20</v>
      </c>
      <c r="C22" s="14">
        <v>13</v>
      </c>
      <c r="D22" s="14">
        <v>7</v>
      </c>
      <c r="E22" s="14">
        <v>45</v>
      </c>
      <c r="F22" s="14">
        <v>18</v>
      </c>
      <c r="G22" s="14">
        <f t="shared" si="0"/>
        <v>27</v>
      </c>
      <c r="H22" s="15">
        <f t="shared" si="1"/>
        <v>0.65</v>
      </c>
      <c r="I22" s="14">
        <f t="shared" si="2"/>
        <v>2.25</v>
      </c>
      <c r="J22" s="14">
        <f t="shared" si="3"/>
        <v>0.9</v>
      </c>
      <c r="K22" s="14">
        <f t="shared" si="4"/>
        <v>1.35</v>
      </c>
      <c r="L22" s="14">
        <v>1</v>
      </c>
      <c r="M22" s="14">
        <v>8</v>
      </c>
    </row>
    <row r="23" spans="1:13" x14ac:dyDescent="0.3">
      <c r="A23" s="11" t="s">
        <v>64</v>
      </c>
      <c r="B23" s="14">
        <v>20</v>
      </c>
      <c r="C23" s="14">
        <v>14</v>
      </c>
      <c r="D23" s="14">
        <v>6</v>
      </c>
      <c r="E23" s="14">
        <v>48</v>
      </c>
      <c r="F23" s="14">
        <v>17</v>
      </c>
      <c r="G23" s="14">
        <f t="shared" si="0"/>
        <v>31</v>
      </c>
      <c r="H23" s="15">
        <f t="shared" si="1"/>
        <v>0.7</v>
      </c>
      <c r="I23" s="14">
        <f t="shared" si="2"/>
        <v>2.4</v>
      </c>
      <c r="J23" s="14">
        <f t="shared" si="3"/>
        <v>0.85</v>
      </c>
      <c r="K23" s="14">
        <f t="shared" si="4"/>
        <v>1.55</v>
      </c>
      <c r="L23" s="14">
        <v>2</v>
      </c>
      <c r="M23" s="14">
        <v>18</v>
      </c>
    </row>
    <row r="24" spans="1:13" x14ac:dyDescent="0.3">
      <c r="A24" s="11" t="s">
        <v>13</v>
      </c>
      <c r="B24" s="14">
        <v>20</v>
      </c>
      <c r="C24" s="14">
        <v>10</v>
      </c>
      <c r="D24" s="14">
        <v>10</v>
      </c>
      <c r="E24" s="14">
        <v>36</v>
      </c>
      <c r="F24" s="14">
        <v>26</v>
      </c>
      <c r="G24" s="14">
        <f t="shared" si="0"/>
        <v>10</v>
      </c>
      <c r="H24" s="15">
        <f t="shared" si="1"/>
        <v>0.5</v>
      </c>
      <c r="I24" s="14">
        <f t="shared" si="2"/>
        <v>1.8</v>
      </c>
      <c r="J24" s="14">
        <f t="shared" si="3"/>
        <v>1.3</v>
      </c>
      <c r="K24" s="14">
        <f t="shared" si="4"/>
        <v>0.5</v>
      </c>
      <c r="L24" s="14">
        <v>1</v>
      </c>
      <c r="M24" s="14">
        <v>38</v>
      </c>
    </row>
    <row r="25" spans="1:13" x14ac:dyDescent="0.3">
      <c r="A25" s="11" t="s">
        <v>66</v>
      </c>
      <c r="B25" s="14">
        <v>20</v>
      </c>
      <c r="C25" s="14">
        <v>8</v>
      </c>
      <c r="D25" s="14">
        <v>12</v>
      </c>
      <c r="E25" s="14">
        <v>21</v>
      </c>
      <c r="F25" s="14">
        <v>17</v>
      </c>
      <c r="G25" s="14">
        <f t="shared" si="0"/>
        <v>4</v>
      </c>
      <c r="H25" s="15">
        <f t="shared" si="1"/>
        <v>0.4</v>
      </c>
      <c r="I25" s="14">
        <f t="shared" si="2"/>
        <v>1.05</v>
      </c>
      <c r="J25" s="14">
        <f t="shared" si="3"/>
        <v>0.85</v>
      </c>
      <c r="K25" s="14">
        <f t="shared" si="4"/>
        <v>0.2</v>
      </c>
      <c r="L25" s="14">
        <v>1</v>
      </c>
      <c r="M25" s="14">
        <v>45</v>
      </c>
    </row>
    <row r="26" spans="1:13" x14ac:dyDescent="0.3">
      <c r="A26" s="11" t="s">
        <v>28</v>
      </c>
      <c r="B26" s="14">
        <v>20</v>
      </c>
      <c r="C26" s="14">
        <v>12</v>
      </c>
      <c r="D26" s="14">
        <v>8</v>
      </c>
      <c r="E26" s="14">
        <v>42</v>
      </c>
      <c r="F26" s="14">
        <v>17</v>
      </c>
      <c r="G26" s="14">
        <f t="shared" si="0"/>
        <v>25</v>
      </c>
      <c r="H26" s="15">
        <f t="shared" si="1"/>
        <v>0.6</v>
      </c>
      <c r="I26" s="14">
        <f t="shared" si="2"/>
        <v>2.1</v>
      </c>
      <c r="J26" s="14">
        <f t="shared" si="3"/>
        <v>0.85</v>
      </c>
      <c r="K26" s="14">
        <f t="shared" si="4"/>
        <v>1.25</v>
      </c>
      <c r="L26" s="14">
        <v>0</v>
      </c>
      <c r="M26" s="14">
        <v>9</v>
      </c>
    </row>
    <row r="27" spans="1:13" x14ac:dyDescent="0.3">
      <c r="A27" s="11" t="s">
        <v>67</v>
      </c>
      <c r="B27" s="14">
        <v>20</v>
      </c>
      <c r="C27" s="14">
        <v>12</v>
      </c>
      <c r="D27" s="14">
        <v>8</v>
      </c>
      <c r="E27" s="14">
        <v>37</v>
      </c>
      <c r="F27" s="14">
        <v>19</v>
      </c>
      <c r="G27" s="14">
        <f t="shared" si="0"/>
        <v>18</v>
      </c>
      <c r="H27" s="15">
        <f t="shared" si="1"/>
        <v>0.6</v>
      </c>
      <c r="I27" s="14">
        <f t="shared" si="2"/>
        <v>1.85</v>
      </c>
      <c r="J27" s="14">
        <f t="shared" si="3"/>
        <v>0.95</v>
      </c>
      <c r="K27" s="14">
        <f t="shared" si="4"/>
        <v>0.9</v>
      </c>
      <c r="L27" s="14">
        <v>2</v>
      </c>
      <c r="M27" s="14">
        <v>29</v>
      </c>
    </row>
    <row r="28" spans="1:13" x14ac:dyDescent="0.3">
      <c r="A28" s="11" t="s">
        <v>68</v>
      </c>
      <c r="B28" s="14">
        <v>20</v>
      </c>
      <c r="C28" s="14">
        <v>13</v>
      </c>
      <c r="D28" s="14">
        <v>7</v>
      </c>
      <c r="E28" s="14">
        <v>40</v>
      </c>
      <c r="F28" s="14">
        <v>18</v>
      </c>
      <c r="G28" s="14">
        <f t="shared" si="0"/>
        <v>22</v>
      </c>
      <c r="H28" s="15">
        <f t="shared" si="1"/>
        <v>0.65</v>
      </c>
      <c r="I28" s="14">
        <f t="shared" si="2"/>
        <v>2</v>
      </c>
      <c r="J28" s="14">
        <f t="shared" si="3"/>
        <v>0.9</v>
      </c>
      <c r="K28" s="14">
        <f t="shared" si="4"/>
        <v>1.1000000000000001</v>
      </c>
      <c r="L28" s="14">
        <v>1</v>
      </c>
      <c r="M28" s="14">
        <v>20</v>
      </c>
    </row>
    <row r="29" spans="1:13" x14ac:dyDescent="0.3">
      <c r="A29" s="11" t="s">
        <v>69</v>
      </c>
      <c r="B29" s="14">
        <v>20</v>
      </c>
      <c r="C29" s="14">
        <v>6</v>
      </c>
      <c r="D29" s="14">
        <v>14</v>
      </c>
      <c r="E29" s="14">
        <v>23</v>
      </c>
      <c r="F29" s="14">
        <v>29</v>
      </c>
      <c r="G29" s="14">
        <f t="shared" si="0"/>
        <v>-6</v>
      </c>
      <c r="H29" s="15">
        <f t="shared" si="1"/>
        <v>0.3</v>
      </c>
      <c r="I29" s="14">
        <f t="shared" si="2"/>
        <v>1.1499999999999999</v>
      </c>
      <c r="J29" s="14">
        <f t="shared" si="3"/>
        <v>1.45</v>
      </c>
      <c r="K29" s="14">
        <f t="shared" si="4"/>
        <v>-0.3</v>
      </c>
      <c r="L29" s="14">
        <v>1</v>
      </c>
      <c r="M29" s="14">
        <v>85</v>
      </c>
    </row>
    <row r="30" spans="1:13" x14ac:dyDescent="0.3">
      <c r="A30" s="11" t="s">
        <v>9</v>
      </c>
      <c r="B30" s="14">
        <v>20</v>
      </c>
      <c r="C30" s="14">
        <v>15</v>
      </c>
      <c r="D30" s="14">
        <v>5</v>
      </c>
      <c r="E30" s="14">
        <v>51</v>
      </c>
      <c r="F30" s="14">
        <v>13</v>
      </c>
      <c r="G30" s="14">
        <f t="shared" si="0"/>
        <v>38</v>
      </c>
      <c r="H30" s="15">
        <f t="shared" si="1"/>
        <v>0.75</v>
      </c>
      <c r="I30" s="14">
        <f t="shared" si="2"/>
        <v>2.5499999999999998</v>
      </c>
      <c r="J30" s="14">
        <f t="shared" si="3"/>
        <v>0.65</v>
      </c>
      <c r="K30" s="14">
        <f t="shared" si="4"/>
        <v>1.9</v>
      </c>
      <c r="L30" s="14">
        <v>0</v>
      </c>
      <c r="M30" s="14">
        <v>2</v>
      </c>
    </row>
    <row r="31" spans="1:13" x14ac:dyDescent="0.3">
      <c r="A31" s="11" t="s">
        <v>57</v>
      </c>
      <c r="B31" s="14">
        <v>20</v>
      </c>
      <c r="C31" s="14">
        <v>8</v>
      </c>
      <c r="D31" s="14">
        <v>12</v>
      </c>
      <c r="E31" s="14">
        <v>24</v>
      </c>
      <c r="F31" s="14">
        <v>25</v>
      </c>
      <c r="G31" s="14">
        <f t="shared" si="0"/>
        <v>-1</v>
      </c>
      <c r="H31" s="15">
        <f t="shared" si="1"/>
        <v>0.4</v>
      </c>
      <c r="I31" s="14">
        <f t="shared" si="2"/>
        <v>1.2</v>
      </c>
      <c r="J31" s="14">
        <f t="shared" si="3"/>
        <v>1.25</v>
      </c>
      <c r="K31" s="14">
        <f t="shared" si="4"/>
        <v>-0.05</v>
      </c>
      <c r="L31" s="14">
        <v>3</v>
      </c>
      <c r="M31" s="14">
        <v>67</v>
      </c>
    </row>
    <row r="32" spans="1:13" x14ac:dyDescent="0.3">
      <c r="A32" s="11" t="s">
        <v>78</v>
      </c>
      <c r="B32" s="14">
        <v>20</v>
      </c>
      <c r="C32" s="14">
        <v>9</v>
      </c>
      <c r="D32" s="14">
        <v>11</v>
      </c>
      <c r="E32" s="14">
        <v>28</v>
      </c>
      <c r="F32" s="14">
        <v>24</v>
      </c>
      <c r="G32" s="14">
        <f t="shared" si="0"/>
        <v>4</v>
      </c>
      <c r="H32" s="15">
        <f t="shared" si="1"/>
        <v>0.45</v>
      </c>
      <c r="I32" s="14">
        <f t="shared" si="2"/>
        <v>1.4</v>
      </c>
      <c r="J32" s="14">
        <f t="shared" si="3"/>
        <v>1.2</v>
      </c>
      <c r="K32" s="14">
        <f t="shared" si="4"/>
        <v>0.2</v>
      </c>
      <c r="L32" s="14">
        <v>0</v>
      </c>
      <c r="M32" s="14">
        <v>61</v>
      </c>
    </row>
    <row r="33" spans="1:13" x14ac:dyDescent="0.3">
      <c r="A33" s="11" t="s">
        <v>1</v>
      </c>
      <c r="B33" s="14">
        <v>20</v>
      </c>
      <c r="C33" s="14">
        <v>12</v>
      </c>
      <c r="D33" s="14">
        <v>8</v>
      </c>
      <c r="E33" s="14">
        <v>39</v>
      </c>
      <c r="F33" s="14">
        <v>18</v>
      </c>
      <c r="G33" s="14">
        <f t="shared" si="0"/>
        <v>21</v>
      </c>
      <c r="H33" s="15">
        <f t="shared" si="1"/>
        <v>0.6</v>
      </c>
      <c r="I33" s="14">
        <f t="shared" si="2"/>
        <v>1.95</v>
      </c>
      <c r="J33" s="14">
        <f t="shared" si="3"/>
        <v>0.9</v>
      </c>
      <c r="K33" s="14">
        <f t="shared" si="4"/>
        <v>1.05</v>
      </c>
      <c r="L33" s="14">
        <v>0</v>
      </c>
      <c r="M33" s="14">
        <v>16</v>
      </c>
    </row>
    <row r="34" spans="1:13" x14ac:dyDescent="0.3">
      <c r="A34" s="11" t="s">
        <v>16</v>
      </c>
      <c r="B34" s="14">
        <v>20</v>
      </c>
      <c r="C34" s="14">
        <v>14</v>
      </c>
      <c r="D34" s="14">
        <v>6</v>
      </c>
      <c r="E34" s="14">
        <v>46</v>
      </c>
      <c r="F34" s="14">
        <v>15</v>
      </c>
      <c r="G34" s="14">
        <f t="shared" si="0"/>
        <v>31</v>
      </c>
      <c r="H34" s="15">
        <f t="shared" si="1"/>
        <v>0.7</v>
      </c>
      <c r="I34" s="14">
        <f t="shared" si="2"/>
        <v>2.2999999999999998</v>
      </c>
      <c r="J34" s="14">
        <f t="shared" si="3"/>
        <v>0.75</v>
      </c>
      <c r="K34" s="14">
        <f t="shared" si="4"/>
        <v>1.55</v>
      </c>
      <c r="L34" s="14">
        <v>1</v>
      </c>
      <c r="M34" s="14">
        <v>3</v>
      </c>
    </row>
    <row r="35" spans="1:13" x14ac:dyDescent="0.3">
      <c r="A35" s="11" t="s">
        <v>35</v>
      </c>
      <c r="B35" s="14">
        <v>20</v>
      </c>
      <c r="C35" s="14">
        <v>13</v>
      </c>
      <c r="D35" s="14">
        <v>7</v>
      </c>
      <c r="E35" s="14">
        <v>38</v>
      </c>
      <c r="F35" s="14">
        <v>14</v>
      </c>
      <c r="G35" s="14">
        <f t="shared" si="0"/>
        <v>24</v>
      </c>
      <c r="H35" s="15">
        <f t="shared" si="1"/>
        <v>0.65</v>
      </c>
      <c r="I35" s="14">
        <f t="shared" si="2"/>
        <v>1.9</v>
      </c>
      <c r="J35" s="14">
        <f t="shared" si="3"/>
        <v>0.7</v>
      </c>
      <c r="K35" s="14">
        <f t="shared" si="4"/>
        <v>1.2</v>
      </c>
      <c r="L35" s="14">
        <v>3</v>
      </c>
      <c r="M35" s="14">
        <v>15</v>
      </c>
    </row>
    <row r="36" spans="1:13" x14ac:dyDescent="0.3">
      <c r="A36" s="11" t="s">
        <v>73</v>
      </c>
      <c r="B36" s="14">
        <v>20</v>
      </c>
      <c r="C36" s="14">
        <v>11</v>
      </c>
      <c r="D36" s="14">
        <v>9</v>
      </c>
      <c r="E36" s="14">
        <v>34</v>
      </c>
      <c r="F36" s="14">
        <v>23</v>
      </c>
      <c r="G36" s="14">
        <f t="shared" si="0"/>
        <v>11</v>
      </c>
      <c r="H36" s="15">
        <f t="shared" si="1"/>
        <v>0.55000000000000004</v>
      </c>
      <c r="I36" s="14">
        <f t="shared" si="2"/>
        <v>1.7</v>
      </c>
      <c r="J36" s="14">
        <f t="shared" si="3"/>
        <v>1.1499999999999999</v>
      </c>
      <c r="K36" s="14">
        <f t="shared" si="4"/>
        <v>0.55000000000000004</v>
      </c>
      <c r="L36" s="14">
        <v>1</v>
      </c>
      <c r="M36" s="14">
        <v>57</v>
      </c>
    </row>
    <row r="37" spans="1:13" x14ac:dyDescent="0.3">
      <c r="A37" s="11" t="s">
        <v>58</v>
      </c>
      <c r="B37" s="14">
        <v>20</v>
      </c>
      <c r="C37" s="14">
        <v>9</v>
      </c>
      <c r="D37" s="14">
        <v>11</v>
      </c>
      <c r="E37" s="14">
        <v>37</v>
      </c>
      <c r="F37" s="14">
        <v>25</v>
      </c>
      <c r="G37" s="14">
        <f t="shared" si="0"/>
        <v>12</v>
      </c>
      <c r="H37" s="15">
        <f t="shared" si="1"/>
        <v>0.45</v>
      </c>
      <c r="I37" s="14">
        <f t="shared" si="2"/>
        <v>1.85</v>
      </c>
      <c r="J37" s="14">
        <f t="shared" si="3"/>
        <v>1.25</v>
      </c>
      <c r="K37" s="14">
        <f t="shared" si="4"/>
        <v>0.6</v>
      </c>
      <c r="L37" s="14">
        <v>0</v>
      </c>
      <c r="M37" s="14">
        <v>31</v>
      </c>
    </row>
    <row r="38" spans="1:13" x14ac:dyDescent="0.3">
      <c r="A38" s="11" t="s">
        <v>0</v>
      </c>
      <c r="B38" s="14">
        <v>20</v>
      </c>
      <c r="C38" s="14">
        <v>16</v>
      </c>
      <c r="D38" s="14">
        <v>4</v>
      </c>
      <c r="E38" s="14">
        <v>48</v>
      </c>
      <c r="F38" s="14">
        <v>11</v>
      </c>
      <c r="G38" s="14">
        <f t="shared" si="0"/>
        <v>37</v>
      </c>
      <c r="H38" s="15">
        <f t="shared" si="1"/>
        <v>0.8</v>
      </c>
      <c r="I38" s="14">
        <f t="shared" si="2"/>
        <v>2.4</v>
      </c>
      <c r="J38" s="14">
        <f t="shared" si="3"/>
        <v>0.55000000000000004</v>
      </c>
      <c r="K38" s="14">
        <f t="shared" si="4"/>
        <v>1.85</v>
      </c>
      <c r="L38" s="14">
        <v>2</v>
      </c>
      <c r="M38" s="14">
        <v>1</v>
      </c>
    </row>
    <row r="39" spans="1:13" x14ac:dyDescent="0.3">
      <c r="A39" s="11" t="s">
        <v>72</v>
      </c>
      <c r="B39" s="14">
        <v>20</v>
      </c>
      <c r="C39" s="14">
        <v>12</v>
      </c>
      <c r="D39" s="14">
        <v>8</v>
      </c>
      <c r="E39" s="14">
        <v>36</v>
      </c>
      <c r="F39" s="14">
        <v>18</v>
      </c>
      <c r="G39" s="14">
        <f t="shared" si="0"/>
        <v>18</v>
      </c>
      <c r="H39" s="15">
        <f t="shared" si="1"/>
        <v>0.6</v>
      </c>
      <c r="I39" s="14">
        <f t="shared" si="2"/>
        <v>1.8</v>
      </c>
      <c r="J39" s="14">
        <f t="shared" si="3"/>
        <v>0.9</v>
      </c>
      <c r="K39" s="14">
        <f t="shared" si="4"/>
        <v>0.9</v>
      </c>
      <c r="L39" s="14">
        <v>3</v>
      </c>
      <c r="M39" s="14">
        <v>28</v>
      </c>
    </row>
    <row r="40" spans="1:13" x14ac:dyDescent="0.3">
      <c r="A40" s="11" t="s">
        <v>10</v>
      </c>
      <c r="B40" s="14">
        <v>20</v>
      </c>
      <c r="C40" s="14">
        <v>11</v>
      </c>
      <c r="D40" s="14">
        <v>9</v>
      </c>
      <c r="E40" s="14">
        <v>35</v>
      </c>
      <c r="F40" s="14">
        <v>21</v>
      </c>
      <c r="G40" s="14">
        <f t="shared" si="0"/>
        <v>14</v>
      </c>
      <c r="H40" s="15">
        <f t="shared" si="1"/>
        <v>0.55000000000000004</v>
      </c>
      <c r="I40" s="14">
        <f t="shared" si="2"/>
        <v>1.75</v>
      </c>
      <c r="J40" s="14">
        <f t="shared" si="3"/>
        <v>1.05</v>
      </c>
      <c r="K40" s="14">
        <f t="shared" si="4"/>
        <v>0.7</v>
      </c>
      <c r="L40" s="14">
        <v>1</v>
      </c>
      <c r="M40" s="14">
        <v>24</v>
      </c>
    </row>
    <row r="41" spans="1:13" x14ac:dyDescent="0.3">
      <c r="A41" s="11" t="s">
        <v>74</v>
      </c>
      <c r="B41" s="14">
        <v>20</v>
      </c>
      <c r="C41" s="14">
        <v>9</v>
      </c>
      <c r="D41" s="14">
        <v>11</v>
      </c>
      <c r="E41" s="14">
        <v>29</v>
      </c>
      <c r="F41" s="14">
        <v>26</v>
      </c>
      <c r="G41" s="14">
        <f t="shared" si="0"/>
        <v>3</v>
      </c>
      <c r="H41" s="15">
        <f t="shared" si="1"/>
        <v>0.45</v>
      </c>
      <c r="I41" s="14">
        <f t="shared" si="2"/>
        <v>1.45</v>
      </c>
      <c r="J41" s="14">
        <f t="shared" si="3"/>
        <v>1.3</v>
      </c>
      <c r="K41" s="14">
        <f t="shared" si="4"/>
        <v>0.15</v>
      </c>
      <c r="L41" s="14">
        <v>0</v>
      </c>
      <c r="M41" s="14">
        <v>63</v>
      </c>
    </row>
    <row r="42" spans="1:13" x14ac:dyDescent="0.3">
      <c r="A42" s="11" t="s">
        <v>23</v>
      </c>
      <c r="B42" s="14">
        <v>20</v>
      </c>
      <c r="C42" s="14">
        <v>15</v>
      </c>
      <c r="D42" s="14">
        <v>5</v>
      </c>
      <c r="E42" s="14">
        <v>49</v>
      </c>
      <c r="F42" s="14">
        <v>16</v>
      </c>
      <c r="G42" s="14">
        <f t="shared" si="0"/>
        <v>33</v>
      </c>
      <c r="H42" s="15">
        <f t="shared" si="1"/>
        <v>0.75</v>
      </c>
      <c r="I42" s="14">
        <f t="shared" si="2"/>
        <v>2.4500000000000002</v>
      </c>
      <c r="J42" s="14">
        <f t="shared" si="3"/>
        <v>0.8</v>
      </c>
      <c r="K42" s="14">
        <f t="shared" si="4"/>
        <v>1.65</v>
      </c>
      <c r="L42" s="14">
        <v>0</v>
      </c>
      <c r="M42" s="14">
        <v>5</v>
      </c>
    </row>
    <row r="43" spans="1:13" x14ac:dyDescent="0.3">
      <c r="A43" s="11" t="s">
        <v>70</v>
      </c>
      <c r="B43" s="14">
        <v>20</v>
      </c>
      <c r="C43" s="14">
        <v>8</v>
      </c>
      <c r="D43" s="14">
        <v>12</v>
      </c>
      <c r="E43" s="14">
        <v>25</v>
      </c>
      <c r="F43" s="14">
        <v>22</v>
      </c>
      <c r="G43" s="14">
        <f t="shared" si="0"/>
        <v>3</v>
      </c>
      <c r="H43" s="15">
        <f t="shared" si="1"/>
        <v>0.4</v>
      </c>
      <c r="I43" s="14">
        <f t="shared" si="2"/>
        <v>1.25</v>
      </c>
      <c r="J43" s="14">
        <f t="shared" si="3"/>
        <v>1.1000000000000001</v>
      </c>
      <c r="K43" s="14">
        <f t="shared" si="4"/>
        <v>0.15</v>
      </c>
      <c r="L43" s="14">
        <v>3</v>
      </c>
      <c r="M43" s="14">
        <v>46</v>
      </c>
    </row>
    <row r="44" spans="1:13" x14ac:dyDescent="0.3">
      <c r="A44" s="11" t="s">
        <v>71</v>
      </c>
      <c r="B44" s="14">
        <v>20</v>
      </c>
      <c r="C44" s="14">
        <v>10</v>
      </c>
      <c r="D44" s="14">
        <v>10</v>
      </c>
      <c r="E44" s="14">
        <v>32</v>
      </c>
      <c r="F44" s="14">
        <v>21</v>
      </c>
      <c r="G44" s="14">
        <f t="shared" si="0"/>
        <v>11</v>
      </c>
      <c r="H44" s="15">
        <f t="shared" si="1"/>
        <v>0.5</v>
      </c>
      <c r="I44" s="14">
        <f t="shared" si="2"/>
        <v>1.6</v>
      </c>
      <c r="J44" s="14">
        <f t="shared" si="3"/>
        <v>1.05</v>
      </c>
      <c r="K44" s="14">
        <f t="shared" si="4"/>
        <v>0.55000000000000004</v>
      </c>
      <c r="L44" s="14">
        <v>0</v>
      </c>
      <c r="M44" s="14">
        <v>50</v>
      </c>
    </row>
    <row r="45" spans="1:13" x14ac:dyDescent="0.3">
      <c r="A45" s="11" t="s">
        <v>39</v>
      </c>
      <c r="B45" s="14">
        <v>20</v>
      </c>
      <c r="C45" s="14">
        <v>11</v>
      </c>
      <c r="D45" s="14">
        <v>9</v>
      </c>
      <c r="E45" s="14">
        <v>33</v>
      </c>
      <c r="F45" s="14">
        <v>19</v>
      </c>
      <c r="G45" s="14">
        <f t="shared" si="0"/>
        <v>14</v>
      </c>
      <c r="H45" s="15">
        <f t="shared" si="1"/>
        <v>0.55000000000000004</v>
      </c>
      <c r="I45" s="14">
        <f t="shared" si="2"/>
        <v>1.65</v>
      </c>
      <c r="J45" s="14">
        <f t="shared" si="3"/>
        <v>0.95</v>
      </c>
      <c r="K45" s="14">
        <f t="shared" si="4"/>
        <v>0.7</v>
      </c>
      <c r="L45" s="14">
        <v>0</v>
      </c>
      <c r="M45" s="14">
        <v>13</v>
      </c>
    </row>
    <row r="46" spans="1:13" x14ac:dyDescent="0.3">
      <c r="A46" s="11" t="s">
        <v>19</v>
      </c>
      <c r="B46" s="14">
        <v>20</v>
      </c>
      <c r="C46" s="14">
        <v>13</v>
      </c>
      <c r="D46" s="14">
        <v>7</v>
      </c>
      <c r="E46" s="14">
        <v>34</v>
      </c>
      <c r="F46" s="14">
        <v>16</v>
      </c>
      <c r="G46" s="14">
        <f t="shared" si="0"/>
        <v>18</v>
      </c>
      <c r="H46" s="15">
        <f t="shared" si="1"/>
        <v>0.65</v>
      </c>
      <c r="I46" s="14">
        <f t="shared" si="2"/>
        <v>1.7</v>
      </c>
      <c r="J46" s="14">
        <f t="shared" si="3"/>
        <v>0.8</v>
      </c>
      <c r="K46" s="14">
        <f t="shared" si="4"/>
        <v>0.9</v>
      </c>
      <c r="L46" s="14">
        <v>1</v>
      </c>
      <c r="M46" s="14">
        <v>4</v>
      </c>
    </row>
    <row r="47" spans="1:13" x14ac:dyDescent="0.3">
      <c r="A47" s="11" t="s">
        <v>33</v>
      </c>
      <c r="B47" s="14">
        <v>20</v>
      </c>
      <c r="C47" s="14">
        <v>12</v>
      </c>
      <c r="D47" s="14">
        <v>8</v>
      </c>
      <c r="E47" s="14">
        <v>35</v>
      </c>
      <c r="F47" s="14">
        <v>18</v>
      </c>
      <c r="G47" s="14">
        <f t="shared" si="0"/>
        <v>17</v>
      </c>
      <c r="H47" s="15">
        <f t="shared" si="1"/>
        <v>0.6</v>
      </c>
      <c r="I47" s="14">
        <f t="shared" si="2"/>
        <v>1.75</v>
      </c>
      <c r="J47" s="14">
        <f t="shared" si="3"/>
        <v>0.9</v>
      </c>
      <c r="K47" s="14">
        <f t="shared" si="4"/>
        <v>0.85</v>
      </c>
      <c r="L47" s="14">
        <v>4</v>
      </c>
      <c r="M47" s="14">
        <v>11</v>
      </c>
    </row>
    <row r="48" spans="1:13" x14ac:dyDescent="0.3">
      <c r="A48" s="11" t="s">
        <v>38</v>
      </c>
      <c r="B48" s="14">
        <v>20</v>
      </c>
      <c r="C48" s="14">
        <v>8</v>
      </c>
      <c r="D48" s="14">
        <v>12</v>
      </c>
      <c r="E48" s="14">
        <v>26</v>
      </c>
      <c r="F48" s="14">
        <v>24</v>
      </c>
      <c r="G48" s="14">
        <f t="shared" si="0"/>
        <v>2</v>
      </c>
      <c r="H48" s="15">
        <f t="shared" si="1"/>
        <v>0.4</v>
      </c>
      <c r="I48" s="14">
        <f t="shared" si="2"/>
        <v>1.3</v>
      </c>
      <c r="J48" s="14">
        <f t="shared" si="3"/>
        <v>1.2</v>
      </c>
      <c r="K48" s="14">
        <f t="shared" si="4"/>
        <v>0.1</v>
      </c>
      <c r="L48" s="14">
        <v>2</v>
      </c>
      <c r="M48" s="14">
        <v>73</v>
      </c>
    </row>
    <row r="49" spans="1:13" x14ac:dyDescent="0.3">
      <c r="A49" s="11" t="s">
        <v>65</v>
      </c>
      <c r="B49" s="14">
        <v>20</v>
      </c>
      <c r="C49" s="14">
        <v>10</v>
      </c>
      <c r="D49" s="14">
        <v>10</v>
      </c>
      <c r="E49" s="14">
        <v>31</v>
      </c>
      <c r="F49" s="14">
        <v>23</v>
      </c>
      <c r="G49" s="14">
        <f t="shared" si="0"/>
        <v>8</v>
      </c>
      <c r="H49" s="15">
        <f t="shared" si="1"/>
        <v>0.5</v>
      </c>
      <c r="I49" s="14">
        <f t="shared" si="2"/>
        <v>1.55</v>
      </c>
      <c r="J49" s="14">
        <f t="shared" si="3"/>
        <v>1.1499999999999999</v>
      </c>
      <c r="K49" s="14">
        <f t="shared" si="4"/>
        <v>0.4</v>
      </c>
      <c r="L49" s="14">
        <v>0</v>
      </c>
      <c r="M49" s="1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Performance Before WC</vt:lpstr>
      <vt:lpstr>2026 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nkarn5789@gmail.com</dc:creator>
  <cp:lastModifiedBy>nkarn5789@gmail.com</cp:lastModifiedBy>
  <dcterms:created xsi:type="dcterms:W3CDTF">2026-06-09T08:39:58Z</dcterms:created>
  <dcterms:modified xsi:type="dcterms:W3CDTF">2026-06-12T09:19:24Z</dcterms:modified>
</cp:coreProperties>
</file>